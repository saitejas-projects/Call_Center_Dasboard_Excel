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Excel Project\"/>
    </mc:Choice>
  </mc:AlternateContent>
  <xr:revisionPtr revIDLastSave="0" documentId="13_ncr:1_{614D535B-8AD4-4D6F-9FAF-C43C4342C505}" xr6:coauthVersionLast="47" xr6:coauthVersionMax="47" xr10:uidLastSave="{00000000-0000-0000-0000-000000000000}"/>
  <bookViews>
    <workbookView xWindow="-108" yWindow="-108" windowWidth="23256" windowHeight="12456" activeTab="3" xr2:uid="{0AD3AEB5-AFDB-4DFD-8733-B1193B896023}"/>
  </bookViews>
  <sheets>
    <sheet name="Pivots" sheetId="6" r:id="rId1"/>
    <sheet name="Data" sheetId="2" r:id="rId2"/>
    <sheet name="Icons" sheetId="4" r:id="rId3"/>
    <sheet name="Dashboard" sheetId="5" r:id="rId4"/>
  </sheets>
  <definedNames>
    <definedName name="_xlnm._FilterDatabase" localSheetId="1" hidden="1">Data!$B$3:$H$1003</definedName>
    <definedName name="_xlcn.WorksheetConnection_P1_ChandooDashboard.xlsxcalls1" hidden="1">calls[]</definedName>
    <definedName name="_xlcn.WorksheetConnection_P1_ChandooDashboard.xlsxcustomers1" hidden="1">customers[]</definedName>
    <definedName name="Slicer_Representative">#N/A</definedName>
  </definedNames>
  <calcPr calcId="191029"/>
  <pivotCaches>
    <pivotCache cacheId="0" r:id="rId5"/>
    <pivotCache cacheId="1" r:id="rId6"/>
    <pivotCache cacheId="2" r:id="rId7"/>
    <pivotCache cacheId="3" r:id="rId8"/>
    <pivotCache cacheId="344" r:id="rId9"/>
    <pivotCache cacheId="347" r:id="rId10"/>
    <pivotCache cacheId="350" r:id="rId11"/>
    <pivotCache cacheId="353" r:id="rId12"/>
    <pivotCache cacheId="356"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P1_Chandoo Dashboard.xlsx!customers"/>
          <x15:modelTable id="calls" name="calls" connection="WorksheetConnection_P1_Chandoo Dashboard.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8" i="5" l="1" a="1"/>
  <c r="P18" i="5" s="1"/>
  <c r="N19" i="6"/>
  <c r="M23" i="6" s="1"/>
  <c r="J22" i="6" a="1"/>
  <c r="J22"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N22" i="6" l="1"/>
  <c r="N26" i="6"/>
  <c r="N25" i="6"/>
  <c r="N24" i="6"/>
  <c r="N23" i="6"/>
  <c r="M22" i="6"/>
  <c r="M26" i="6"/>
  <c r="M25" i="6"/>
  <c r="M2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4C1B3B-C581-4266-AE80-28AFBBAC430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B0E22BA-4940-49F6-871E-96DC7E1ED300}" name="WorksheetConnection_P1_Chandoo Dashboard.xlsx!calls" type="102" refreshedVersion="8" minRefreshableVersion="5">
    <extLst>
      <ext xmlns:x15="http://schemas.microsoft.com/office/spreadsheetml/2010/11/main" uri="{DE250136-89BD-433C-8126-D09CA5730AF9}">
        <x15:connection id="calls" autoDelete="1">
          <x15:rangePr sourceName="_xlcn.WorksheetConnection_P1_ChandooDashboard.xlsxcalls1"/>
        </x15:connection>
      </ext>
    </extLst>
  </connection>
  <connection id="3" xr16:uid="{24A7FF2A-EDAE-4ACB-9370-E80D194F44EB}" name="WorksheetConnection_P1_Chandoo Dashboard.xlsx!customers" type="102" refreshedVersion="8" minRefreshableVersion="5">
    <extLst>
      <ext xmlns:x15="http://schemas.microsoft.com/office/spreadsheetml/2010/11/main" uri="{DE250136-89BD-433C-8126-D09CA5730AF9}">
        <x15:connection id="customers">
          <x15:rangePr sourceName="_xlcn.WorksheetConnection_P1_ChandooDashboard.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<sst xmlns="http://schemas.openxmlformats.org/spreadsheetml/2006/main" count="3164" uniqueCount="1075">
  <si>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</si>
  <si>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</si>
  <si>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</si>
  <si>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</si>
  <si>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</si>
  <si>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</si>
  <si>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</si>
  <si>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</si>
  <si>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</si>
  <si>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</si>
  <si>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</si>
  <si>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</si>
  <si>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</si>
  <si>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</si>
  <si>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</si>
  <si>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</si>
  <si>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</si>
  <si>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</si>
  <si>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</si>
  <si>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</si>
  <si>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</si>
  <si>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</si>
  <si>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</si>
  <si>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</si>
  <si>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</si>
  <si>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</si>
  <si>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</si>
  <si>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</si>
  <si>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</si>
  <si>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</si>
  <si>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</si>
  <si>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</si>
  <si>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</si>
  <si>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</si>
  <si>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</si>
  <si>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</si>
  <si>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</si>
  <si>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</si>
  <si>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</si>
  <si>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</si>
  <si>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</si>
  <si>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</si>
  <si>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</si>
  <si>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</si>
  <si>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</si>
  <si>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</si>
  <si>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</si>
  <si>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</si>
  <si>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</si>
  <si>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</si>
  <si>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</si>
  <si>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</si>
  <si>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</si>
  <si>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</si>
  <si>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</si>
  <si>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</si>
  <si>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</si>
  <si>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</si>
  <si>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</si>
  <si>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</si>
  <si>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</si>
  <si>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</si>
  <si>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</si>
  <si>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</si>
  <si>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</si>
  <si>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</si>
  <si>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</si>
  <si>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</si>
  <si>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</si>
  <si>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</si>
  <si>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</si>
  <si>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</si>
  <si>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</si>
  <si>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</si>
  <si>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</si>
  <si>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</si>
  <si>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</si>
  <si>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</si>
  <si>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</si>
  <si>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</si>
  <si>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</si>
  <si>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</si>
  <si>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</si>
  <si>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</si>
  <si>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</si>
  <si>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</si>
  <si>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</si>
  <si>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</si>
  <si>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</si>
  <si>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</si>
  <si>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</si>
  <si>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</si>
  <si>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</si>
  <si>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</si>
  <si>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</si>
  <si>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</si>
  <si>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</si>
  <si>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</si>
  <si>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</si>
  <si>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</si>
  <si>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</si>
  <si>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</si>
  <si>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</si>
  <si>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</si>
  <si>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</si>
  <si>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</si>
  <si>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</si>
  <si>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</si>
  <si>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</si>
  <si>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</si>
  <si>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</si>
  <si>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</si>
  <si>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</si>
  <si>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</si>
  <si>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</si>
  <si>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</si>
  <si>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</si>
  <si>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</si>
  <si>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</si>
  <si>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</si>
  <si>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</si>
  <si>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</si>
  <si>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</si>
  <si>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</si>
  <si>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</si>
  <si>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</si>
  <si>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</si>
  <si>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</si>
  <si>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</si>
  <si>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</si>
  <si>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</si>
  <si>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</si>
  <si>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</si>
  <si>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</si>
  <si>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</si>
  <si>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</si>
  <si>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</si>
  <si>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</si>
  <si>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</si>
  <si>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</si>
  <si>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</si>
  <si>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</si>
  <si>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</si>
  <si>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</si>
  <si>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</si>
  <si>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</si>
  <si>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</si>
  <si>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</si>
  <si>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</si>
  <si>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</si>
  <si>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</si>
  <si>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</si>
  <si>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</si>
  <si>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</si>
  <si>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</si>
  <si>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</si>
  <si>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</si>
  <si>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</si>
  <si>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</si>
  <si>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</si>
  <si>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</si>
  <si>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</si>
  <si>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</si>
  <si>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</si>
  <si>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</si>
  <si>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</si>
  <si>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</si>
  <si>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</si>
  <si>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</si>
  <si>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</si>
  <si>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</si>
  <si>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</si>
  <si>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</si>
  <si>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</si>
  <si>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</si>
  <si>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</si>
  <si>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</si>
  <si>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</si>
  <si>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</si>
  <si>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</si>
  <si>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</si>
  <si>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</si>
  <si>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</si>
  <si>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</si>
  <si>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</si>
  <si>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</si>
  <si>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</si>
  <si>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</si>
  <si>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</si>
  <si>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</si>
  <si>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</si>
  <si>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</si>
  <si>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</si>
  <si>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</si>
  <si>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</si>
  <si>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</si>
  <si>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</si>
  <si>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</si>
  <si>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</si>
  <si>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</si>
  <si>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</si>
  <si>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</si>
  <si>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</si>
  <si>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</si>
  <si>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</si>
  <si>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</si>
  <si>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</si>
  <si>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</si>
  <si>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</si>
  <si>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</si>
  <si>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</si>
  <si>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</si>
  <si>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</si>
  <si>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</si>
  <si>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</si>
  <si>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</si>
  <si>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</si>
  <si>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</si>
  <si>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</si>
  <si>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</si>
  <si>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</si>
  <si>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</si>
  <si>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</si>
  <si>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</si>
  <si>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</si>
  <si>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</si>
  <si>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</si>
  <si>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</si>
  <si>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</si>
  <si>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</si>
  <si>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</si>
  <si>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</si>
  <si>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</si>
  <si>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</si>
  <si>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</si>
  <si>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</si>
  <si>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</si>
  <si>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</si>
  <si>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</si>
  <si>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</si>
  <si>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</si>
  <si>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</si>
  <si>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</si>
  <si>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</si>
  <si>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</si>
  <si>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</si>
  <si>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</si>
  <si>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</si>
  <si>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</si>
  <si>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</si>
  <si>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</si>
  <si>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</si>
  <si>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</si>
  <si>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</si>
  <si>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</si>
  <si>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</si>
  <si>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</si>
  <si>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</si>
  <si>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</si>
  <si>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</si>
  <si>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</si>
  <si>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</si>
  <si>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</si>
  <si>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</si>
  <si>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</si>
  <si>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</si>
  <si>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</si>
  <si>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</si>
  <si>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</si>
  <si>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</si>
  <si>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</si>
  <si>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</si>
  <si>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</si>
  <si>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</si>
  <si>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</si>
  <si>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</si>
  <si>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</si>
  <si>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</si>
  <si>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</si>
  <si>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</si>
  <si>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</si>
  <si>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</si>
  <si>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</si>
  <si>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</si>
  <si>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</si>
  <si>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</si>
  <si>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</si>
  <si>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</si>
  <si>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</si>
  <si>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</si>
  <si>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</si>
  <si>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</si>
  <si>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</si>
  <si>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</si>
  <si>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</si>
  <si>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</si>
  <si>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</si>
  <si>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</si>
  <si>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</si>
  <si>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</si>
  <si>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</si>
  <si>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</si>
  <si>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</si>
  <si>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</si>
  <si>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</si>
  <si>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</si>
  <si>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</si>
  <si>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</si>
  <si>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</si>
  <si>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</si>
  <si>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</si>
  <si>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</si>
  <si>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</si>
  <si>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</si>
  <si>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</si>
  <si>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</si>
  <si>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</si>
  <si>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</si>
  <si>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</si>
  <si>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</si>
  <si>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</si>
  <si>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</si>
  <si>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</si>
  <si>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</si>
  <si>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</si>
  <si>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</si>
  <si>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</si>
  <si>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</si>
  <si>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</si>
  <si>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</si>
  <si>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</si>
  <si>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</si>
  <si>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</si>
  <si>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</si>
  <si>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</si>
  <si>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</si>
  <si>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</si>
  <si>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</si>
  <si>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</si>
  <si>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</si>
  <si>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</si>
  <si>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</si>
  <si>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</si>
  <si>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</si>
  <si>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</si>
  <si>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</si>
  <si>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</si>
  <si>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</si>
  <si>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</si>
  <si>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</si>
  <si>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</si>
  <si>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</si>
  <si>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</si>
  <si>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</si>
  <si>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</si>
  <si>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</si>
  <si>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</si>
  <si>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</si>
  <si>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</si>
  <si>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</si>
  <si>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</si>
  <si>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</si>
  <si>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</si>
  <si>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</si>
  <si>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</si>
  <si>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</si>
  <si>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</si>
  <si>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</si>
  <si>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</si>
  <si>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</si>
  <si>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</si>
  <si>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</si>
  <si>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</si>
  <si>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</si>
  <si>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</si>
  <si>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</si>
  <si>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</si>
  <si>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</si>
  <si>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</si>
  <si>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</si>
  <si>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</si>
  <si>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</si>
  <si>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</si>
  <si>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</si>
  <si>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</si>
  <si>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</si>
  <si>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</si>
  <si>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</si>
  <si>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</si>
  <si>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</si>
  <si>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</si>
  <si>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</si>
  <si>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</si>
  <si>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</si>
  <si>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</si>
  <si>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</si>
  <si>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</si>
  <si>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</si>
  <si>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</si>
  <si>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</si>
  <si>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</si>
  <si>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</si>
  <si>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</si>
  <si>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</si>
  <si>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</si>
  <si>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</si>
  <si>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</si>
  <si>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</si>
  <si>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</si>
  <si>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</si>
  <si>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</si>
  <si>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</si>
  <si>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</si>
  <si>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</si>
  <si>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</si>
  <si>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</si>
  <si>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</si>
  <si>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</si>
  <si>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</si>
  <si>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</si>
  <si>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</si>
  <si>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</si>
  <si>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</si>
  <si>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</si>
  <si>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</si>
  <si>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</si>
  <si>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</si>
  <si>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</si>
  <si>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</si>
  <si>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</si>
  <si>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</si>
  <si>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</si>
  <si>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</si>
  <si>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</si>
  <si>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</si>
  <si>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</si>
  <si>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</si>
  <si>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</si>
  <si>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</si>
  <si>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</si>
  <si>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</si>
  <si>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</si>
  <si>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</si>
  <si>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</si>
  <si>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</si>
  <si>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</si>
  <si>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</si>
  <si>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</si>
  <si>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</si>
  <si>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</si>
  <si>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</si>
  <si>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</si>
  <si>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</si>
  <si>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</si>
  <si>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</si>
  <si>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</si>
  <si>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</si>
  <si>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</si>
  <si>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</si>
  <si>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</si>
  <si>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</si>
  <si>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</si>
  <si>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</si>
  <si>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</si>
  <si>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</si>
  <si>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</si>
  <si>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</si>
  <si>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</si>
  <si>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</si>
  <si>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</si>
  <si>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</si>
  <si>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</si>
  <si>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</si>
  <si>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</si>
  <si>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</si>
  <si>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</si>
  <si>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</si>
  <si>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</si>
  <si>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</si>
  <si>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</si>
  <si>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</si>
  <si>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</si>
  <si>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</si>
  <si>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</si>
  <si>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</si>
  <si>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</si>
  <si>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</si>
  <si>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</si>
  <si>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</si>
  <si>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</si>
  <si>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</si>
  <si>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</si>
  <si>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</si>
  <si>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</si>
  <si>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</si>
  <si>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</si>
  <si>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</si>
  <si>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</si>
  <si>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</si>
  <si>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</si>
  <si>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</si>
  <si>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</si>
  <si>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</si>
  <si>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</si>
  <si>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</si>
  <si>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</si>
  <si>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</si>
  <si>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</si>
  <si>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</si>
  <si>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</si>
  <si>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</si>
  <si>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</si>
  <si>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</si>
  <si>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</si>
  <si>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</si>
  <si>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</si>
  <si>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</si>
  <si>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</si>
  <si>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</si>
  <si>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</si>
  <si>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</si>
  <si>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</si>
  <si>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</si>
  <si>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</si>
  <si>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</si>
  <si>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</si>
  <si>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</si>
  <si>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</si>
  <si>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</si>
  <si>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</si>
  <si>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</si>
  <si>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</si>
  <si>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</si>
  <si>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</si>
  <si>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</si>
  <si>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</si>
  <si>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</si>
  <si>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</si>
  <si>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</si>
  <si>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</si>
  <si>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</si>
  <si>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</si>
  <si>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</si>
  <si>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</si>
  <si>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</si>
  <si>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</si>
  <si>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</si>
  <si>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</si>
  <si>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</si>
  <si>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</si>
  <si>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</si>
  <si>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</si>
  <si>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</si>
  <si>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</si>
  <si>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</si>
  <si>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</si>
  <si>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</si>
  <si>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</si>
  <si>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</si>
  <si>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</si>
  <si>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</si>
  <si>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</si>
  <si>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</si>
  <si>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</si>
  <si>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</si>
  <si>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</si>
  <si>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</si>
  <si>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</si>
  <si>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</si>
  <si>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</si>
  <si>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</si>
  <si>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</si>
  <si>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</si>
  <si>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</si>
  <si>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</si>
  <si>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</si>
  <si>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</si>
  <si>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</si>
  <si>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</si>
  <si>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</si>
  <si>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</si>
  <si>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</si>
  <si>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</si>
  <si>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</si>
  <si>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</si>
  <si>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</si>
  <si>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</si>
  <si>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</si>
  <si>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</si>
  <si>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</si>
  <si>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</si>
  <si>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</si>
  <si>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</si>
  <si>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</si>
  <si>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</si>
  <si>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</si>
  <si>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</si>
  <si>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</si>
  <si>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</si>
  <si>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</si>
  <si>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</si>
  <si>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</si>
  <si>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</si>
  <si>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</si>
  <si>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</si>
  <si>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</si>
  <si>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</si>
  <si>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</si>
  <si>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</si>
  <si>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</si>
  <si>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</si>
  <si>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</si>
  <si>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</si>
  <si>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</si>
  <si>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</si>
  <si>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</si>
  <si>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</si>
  <si>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</si>
  <si>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</si>
  <si>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</si>
  <si>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</si>
  <si>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</si>
  <si>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</si>
  <si>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</si>
  <si>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</si>
  <si>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</si>
  <si>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</si>
  <si>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</si>
  <si>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</si>
  <si>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</si>
  <si>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</si>
  <si>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</si>
  <si>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</si>
  <si>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</si>
  <si>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</si>
  <si>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</si>
  <si>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</si>
  <si>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</si>
  <si>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</si>
  <si>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</si>
  <si>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</si>
  <si>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</si>
  <si>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</si>
  <si>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</si>
  <si>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</si>
  <si>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</si>
  <si>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</si>
  <si>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</si>
  <si>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</si>
  <si>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</si>
  <si>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</si>
  <si>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</si>
  <si>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</si>
  <si>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</si>
  <si>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</si>
  <si>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</si>
  <si>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</si>
  <si>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</si>
  <si>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</si>
  <si>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</si>
  <si>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</si>
  <si>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</si>
  <si>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</si>
  <si>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</si>
  <si>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</si>
  <si>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</si>
  <si>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</si>
  <si>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</si>
  <si>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</si>
  <si>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</si>
  <si>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</si>
  <si>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</si>
  <si>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</si>
  <si>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</si>
  <si>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</si>
  <si>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</si>
  <si>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</si>
  <si>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</si>
  <si>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</si>
  <si>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</si>
  <si>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</si>
  <si>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</si>
  <si>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</si>
  <si>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</si>
  <si>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</si>
  <si>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</si>
  <si>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</si>
  <si>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</si>
  <si>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</si>
  <si>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</si>
  <si>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</si>
  <si>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</si>
  <si>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</si>
  <si>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</si>
  <si>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</si>
  <si>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</si>
  <si>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</si>
  <si>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</si>
  <si>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</si>
  <si>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</si>
  <si>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</si>
  <si>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</si>
  <si>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</si>
  <si>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</si>
  <si>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</si>
  <si>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</si>
  <si>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</si>
  <si>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</si>
  <si>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</si>
  <si>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</si>
  <si>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</si>
  <si>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</si>
  <si>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</si>
  <si>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</si>
  <si>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</si>
  <si>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</si>
  <si>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</si>
  <si>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</si>
  <si>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</si>
  <si>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</si>
  <si>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</si>
  <si>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</si>
  <si>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</si>
  <si>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</si>
  <si>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</si>
  <si>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</si>
  <si>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</si>
  <si>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</si>
  <si>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</si>
  <si>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</si>
  <si>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</si>
  <si>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</si>
  <si>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</si>
  <si>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</si>
  <si>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</si>
  <si>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</si>
  <si>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</si>
  <si>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</si>
  <si>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</si>
  <si>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</si>
  <si>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</si>
  <si>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</si>
  <si>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</si>
  <si>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</si>
  <si>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</si>
  <si>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</si>
  <si>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</si>
  <si>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</si>
  <si>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</si>
  <si>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</si>
  <si>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</si>
  <si>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</si>
  <si>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</si>
  <si>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</si>
  <si>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</si>
  <si>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</si>
  <si>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</si>
  <si>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</si>
  <si>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</si>
  <si>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</si>
  <si>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</si>
  <si>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</si>
  <si>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</si>
  <si>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</si>
  <si>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</si>
  <si>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</si>
  <si>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</si>
  <si>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</si>
  <si>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</si>
  <si>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</si>
  <si>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</si>
  <si>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</si>
  <si>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</si>
  <si>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</si>
  <si>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</si>
  <si>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</si>
  <si>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</si>
  <si>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</si>
  <si>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</si>
  <si>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</si>
  <si>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</si>
  <si>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</si>
  <si>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</si>
  <si>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</si>
  <si>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</si>
  <si>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</si>
  <si>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</si>
  <si>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</si>
  <si>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</si>
  <si>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</si>
  <si>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</si>
  <si>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</si>
  <si>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</si>
  <si>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</si>
  <si>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</si>
  <si>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</si>
  <si>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</si>
  <si>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</si>
  <si>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</si>
  <si>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</si>
  <si>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</si>
  <si>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</si>
  <si>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</si>
  <si>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</si>
  <si>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</si>
  <si>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</si>
  <si>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</si>
  <si>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</si>
  <si>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</si>
  <si>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</si>
  <si>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</si>
  <si>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</si>
  <si>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</si>
  <si>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</si>
  <si>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</si>
  <si>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</si>
  <si>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</si>
  <si>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</si>
  <si>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</si>
  <si>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</si>
  <si>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</si>
  <si>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</si>
  <si>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</si>
  <si>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</si>
  <si>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</si>
  <si>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</si>
  <si>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</si>
  <si>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</si>
  <si>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</si>
  <si>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</si>
  <si>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</si>
  <si>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</si>
  <si>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</si>
  <si>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</si>
  <si>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</si>
  <si>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</si>
  <si>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</si>
  <si>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</si>
  <si>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</si>
  <si>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</si>
  <si>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</si>
  <si>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</si>
  <si>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</si>
  <si>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</si>
  <si>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</si>
  <si>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</si>
  <si>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</si>
  <si>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</si>
  <si>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</si>
  <si>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</si>
  <si>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</si>
  <si>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</si>
  <si>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</si>
  <si>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</si>
  <si>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</si>
  <si>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</si>
  <si>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</si>
  <si>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</si>
  <si>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</si>
  <si>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</si>
  <si>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</si>
  <si>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</si>
  <si>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</si>
  <si>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</si>
  <si>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</si>
  <si>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</si>
  <si>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</si>
  <si>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</si>
  <si>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</si>
  <si>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</si>
  <si>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</si>
  <si>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</si>
  <si>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</si>
  <si>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</si>
  <si>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</si>
  <si>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</si>
  <si>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</si>
  <si>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</si>
  <si>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</si>
  <si>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</si>
  <si>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</si>
  <si>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</si>
  <si>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</si>
  <si>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</si>
  <si>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</si>
  <si>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</si>
  <si>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</si>
  <si>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</si>
  <si>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</si>
  <si>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</si>
  <si>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</si>
  <si>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</si>
  <si>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</si>
  <si>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</si>
  <si>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</si>
  <si>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</si>
  <si>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</si>
  <si>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</si>
  <si>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</si>
  <si>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</si>
  <si>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</si>
  <si>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</si>
  <si>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</si>
  <si>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</si>
  <si>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</si>
  <si>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</si>
  <si>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</si>
  <si>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</si>
  <si>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</si>
  <si>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</si>
  <si>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</si>
  <si>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</si>
  <si>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</si>
  <si>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</si>
  <si>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</si>
  <si>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</si>
  <si>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</si>
  <si>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</si>
  <si>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</si>
  <si>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</si>
  <si>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</si>
  <si>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</si>
  <si>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</si>
  <si>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</si>
  <si>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</si>
  <si>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</si>
  <si>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</si>
  <si>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</si>
  <si>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</si>
  <si>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</si>
  <si>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</si>
  <si>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</si>
  <si>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</si>
  <si>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</si>
  <si>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</si>
  <si>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</si>
  <si>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</si>
  <si>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</si>
  <si>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</si>
  <si>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</si>
  <si>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</si>
  <si>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</si>
  <si>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</si>
  <si>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</si>
  <si>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</si>
  <si>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</si>
  <si>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</si>
  <si>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</si>
  <si>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</si>
  <si>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</si>
  <si>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</si>
  <si>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</si>
  <si>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</si>
  <si>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</si>
  <si>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</si>
  <si>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</si>
  <si>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</si>
  <si>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</si>
  <si>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</si>
  <si>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</si>
  <si>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</si>
  <si>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</si>
  <si>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</si>
  <si>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</si>
  <si>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</si>
  <si>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</si>
  <si>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</si>
  <si>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</si>
  <si>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</si>
  <si>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</si>
  <si>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</si>
  <si>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</si>
  <si>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</si>
  <si>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</si>
  <si>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</si>
  <si>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</si>
  <si>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</si>
  <si>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</si>
  <si>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</si>
  <si>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</si>
  <si>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</si>
  <si>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</si>
  <si>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</si>
  <si>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</si>
  <si>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</si>
  <si>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</si>
  <si>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</si>
  <si>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</si>
  <si>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</si>
  <si>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</si>
  <si>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</si>
  <si>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</si>
  <si>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</si>
  <si>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</si>
  <si>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</si>
  <si>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</si>
  <si>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</si>
  <si>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</si>
  <si>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</si>
  <si>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</si>
  <si>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</si>
  <si>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</si>
  <si>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</si>
  <si>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</si>
  <si>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</si>
  <si>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</si>
  <si>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</si>
  <si>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</si>
  <si>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</si>
  <si>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</si>
  <si>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</si>
  <si>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</si>
  <si>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</si>
  <si>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</si>
  <si>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</si>
  <si>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</si>
  <si>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</si>
  <si>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</si>
  <si>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</si>
  <si>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</si>
  <si>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</si>
  <si>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</si>
  <si>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</si>
  <si>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</si>
  <si>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</si>
  <si>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</si>
  <si>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</si>
  <si>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</si>
  <si>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</si>
  <si>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</si>
  <si>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</si>
  <si>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</si>
  <si>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</si>
  <si>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</si>
  <si>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</si>
  <si>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</si>
  <si>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</si>
  <si>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</si>
  <si>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</si>
  <si>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Call Count</t>
  </si>
  <si>
    <t>Total Amount</t>
  </si>
  <si>
    <t>Total Duration</t>
  </si>
  <si>
    <t>Avg rating</t>
  </si>
  <si>
    <t>5* Calls</t>
  </si>
  <si>
    <t>Grand Total</t>
  </si>
  <si>
    <t>Jan</t>
  </si>
  <si>
    <t>Feb</t>
  </si>
  <si>
    <t>Mar</t>
  </si>
  <si>
    <t>Apr</t>
  </si>
  <si>
    <t>May</t>
  </si>
  <si>
    <t>Jun</t>
  </si>
  <si>
    <t>Jul</t>
  </si>
  <si>
    <t>Aug</t>
  </si>
  <si>
    <t>Sep</t>
  </si>
  <si>
    <t>Oct</t>
  </si>
  <si>
    <t>Nov</t>
  </si>
  <si>
    <t>Dec</t>
  </si>
  <si>
    <t>Row Labels</t>
  </si>
  <si>
    <t>Call Count2</t>
  </si>
  <si>
    <t>Friday</t>
  </si>
  <si>
    <t>Monday</t>
  </si>
  <si>
    <t>Saturday</t>
  </si>
  <si>
    <t>Sunday</t>
  </si>
  <si>
    <t>Thursday</t>
  </si>
  <si>
    <t>Tuesday</t>
  </si>
  <si>
    <t>Wednesday</t>
  </si>
  <si>
    <t>For Graph</t>
  </si>
  <si>
    <t>Rep</t>
  </si>
  <si>
    <t>Calls</t>
  </si>
  <si>
    <t>Amount</t>
  </si>
  <si>
    <t>Sel. Amount</t>
  </si>
  <si>
    <t>Sel. Calls</t>
  </si>
  <si>
    <t>Selected Rep</t>
  </si>
  <si>
    <t>Column Labels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</si>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</sst>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quot;₹&quot;\ #,##0;#,##0\ \-&quot;₹&quot;;&quot;₹&quot;\ #,##0"/>
    <numFmt numFmtId="166" formatCode="0.0"/>
    <numFmt numFmtId="167" formatCode="&quot;₹&quot;\ #,##0.0,&quot;k&quot;"/>
    <numFmt numFmtId="168" formatCode="&quot;₹&quot;\ #,##0"/>
    <numFmt numFmtId="169" formatCode="&quot;₹&quot;\ #,##0;#,##0\ \-&quot;₹&quot;;&quot;₹&quot;\ #,##0"/>
  </numFmts>
  <fonts count="3" x14ac:knownFonts="1">
    <font>
      <sz val="11"/>
      <color theme="1"/>
      <name val="Aptos"/>
      <family val="2"/>
      <scheme val="minor"/>
    </font>
    <font>
      <b/>
      <sz val="11"/>
      <color theme="1"/>
      <name val="Aptos"/>
      <family val="2"/>
      <scheme val="minor"/>
    </font>
    <font>
      <sz val="8"/>
      <name val="Aptos"/>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8"/>
        <bgColor indexed="64"/>
      </patternFill>
    </fill>
    <fill>
      <patternFill patternType="solid">
        <fgColor theme="0"/>
        <bgColor indexed="64"/>
      </patternFill>
    </fill>
    <fill>
      <patternFill patternType="solid">
        <fgColor theme="0"/>
        <bgColor theme="4" tint="0.79998168889431442"/>
      </patternFill>
    </fill>
    <fill>
      <patternFill patternType="solid">
        <fgColor theme="0" tint="-0.34998626667073579"/>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style="thin">
        <color theme="4" tint="0.39997558519241921"/>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1">
    <xf numFmtId="0" fontId="0" fillId="0" borderId="0"/>
  </cellStyleXfs>
  <cellXfs count="42">
    <xf numFmtId="0" fontId="0" fillId="0" borderId="0" xfId="0"/>
    <xf numFmtId="9" fontId="0" fillId="0" borderId="0" xfId="0" applyNumberFormat="1"/>
    <xf numFmtId="0" fontId="0" fillId="0" borderId="1" xfId="0" applyBorder="1"/>
    <xf numFmtId="9" fontId="0" fillId="0" borderId="1" xfId="0" applyNumberFormat="1" applyBorder="1"/>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2" borderId="0" xfId="0" applyFill="1"/>
    <xf numFmtId="3" fontId="0" fillId="0" borderId="0" xfId="0" applyNumberFormat="1"/>
    <xf numFmtId="165" fontId="0" fillId="0" borderId="0" xfId="0" applyNumberFormat="1"/>
    <xf numFmtId="166" fontId="0" fillId="0" borderId="0" xfId="0" applyNumberFormat="1"/>
    <xf numFmtId="1"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3" borderId="0" xfId="0" applyFill="1" applyAlignment="1">
      <alignment horizontal="left"/>
    </xf>
    <xf numFmtId="0" fontId="0" fillId="0" borderId="0" xfId="0" applyAlignment="1">
      <alignment horizontal="left" indent="1"/>
    </xf>
    <xf numFmtId="0" fontId="0" fillId="4" borderId="10" xfId="0" applyFill="1" applyBorder="1"/>
    <xf numFmtId="0" fontId="1" fillId="5" borderId="11" xfId="0" applyFont="1" applyFill="1" applyBorder="1"/>
    <xf numFmtId="0" fontId="1" fillId="4" borderId="12" xfId="0" applyFont="1" applyFill="1" applyBorder="1"/>
    <xf numFmtId="0" fontId="0" fillId="4" borderId="0" xfId="0" applyFill="1"/>
    <xf numFmtId="0" fontId="0" fillId="4" borderId="14" xfId="0" applyFill="1" applyBorder="1"/>
    <xf numFmtId="0" fontId="0" fillId="4" borderId="13" xfId="0" applyFill="1" applyBorder="1" applyAlignment="1">
      <alignment horizontal="left" indent="1"/>
    </xf>
    <xf numFmtId="168" fontId="0" fillId="4" borderId="0" xfId="0" applyNumberFormat="1" applyFill="1"/>
    <xf numFmtId="168" fontId="0" fillId="4" borderId="14" xfId="0" applyNumberFormat="1" applyFill="1" applyBorder="1"/>
    <xf numFmtId="0" fontId="0" fillId="4" borderId="15" xfId="0" applyFill="1" applyBorder="1" applyAlignment="1">
      <alignment horizontal="left" indent="1"/>
    </xf>
    <xf numFmtId="168" fontId="0" fillId="4" borderId="16" xfId="0" applyNumberFormat="1" applyFill="1" applyBorder="1"/>
    <xf numFmtId="168" fontId="0" fillId="4" borderId="17" xfId="0" applyNumberFormat="1" applyFill="1" applyBorder="1"/>
    <xf numFmtId="0" fontId="1" fillId="4" borderId="13" xfId="0" applyFont="1" applyFill="1" applyBorder="1"/>
    <xf numFmtId="169" fontId="0" fillId="0" borderId="0" xfId="0" applyNumberFormat="1"/>
    <xf numFmtId="0" fontId="0" fillId="6" borderId="0" xfId="0" applyFill="1"/>
  </cellXfs>
  <cellStyles count="1">
    <cellStyle name="Normal" xfId="0" builtinId="0"/>
  </cellStyles>
  <dxfs count="30">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8" tint="0.39994506668294322"/>
        </patternFill>
      </fill>
      <border>
        <left style="thin">
          <color theme="1"/>
        </left>
        <right style="thin">
          <color theme="1"/>
        </right>
        <top/>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8"/>
        </patternFill>
      </fill>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9"/>
    </tableStyle>
    <tableStyle name="SlicerStyleLight5 2" pivot="0" table="0" count="10" xr9:uid="{A40A80F9-0074-4D24-AEC0-B139ECE87C2B}">
      <tableStyleElement type="wholeTable" dxfId="28"/>
      <tableStyleElement type="headerRow" dxfId="2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rgb="FF828282"/>
            <name val="Aptos"/>
            <family val="2"/>
            <scheme val="minor"/>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1499679555650502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22/10/relationships/richValueRel" Target="richData/richValueRel.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Dashboard.xlsx]Pivots!Monthly Trend</c:name>
    <c:fmtId val="8"/>
  </c:pivotSource>
  <c:chart>
    <c:title>
      <c:tx>
        <c:rich>
          <a:bodyPr rot="0" spcFirstLastPara="1" vertOverflow="ellipsis" vert="horz" wrap="square" anchor="ctr" anchorCtr="1"/>
          <a:lstStyle/>
          <a:p>
            <a:pPr>
              <a:defRPr sz="1400" b="0" i="0" u="none" strike="noStrike" kern="1200" spc="0" baseline="0">
                <a:solidFill>
                  <a:schemeClr val="accent5"/>
                </a:solidFill>
                <a:latin typeface="+mj-lt"/>
                <a:ea typeface="+mn-ea"/>
                <a:cs typeface="+mn-cs"/>
              </a:defRPr>
            </a:pPr>
            <a:r>
              <a:rPr lang="en-US">
                <a:solidFill>
                  <a:schemeClr val="accent5"/>
                </a:solidFill>
                <a:latin typeface="+mj-lt"/>
              </a:rPr>
              <a:t>Call Trend</a:t>
            </a:r>
            <a:r>
              <a:rPr lang="en-US" baseline="0">
                <a:solidFill>
                  <a:schemeClr val="accent5"/>
                </a:solidFill>
                <a:latin typeface="+mj-lt"/>
              </a:rPr>
              <a:t> </a:t>
            </a:r>
            <a:endParaRPr lang="en-US">
              <a:solidFill>
                <a:schemeClr val="accent5"/>
              </a:solidFill>
              <a:latin typeface="+mj-lt"/>
            </a:endParaRPr>
          </a:p>
        </c:rich>
      </c:tx>
      <c:layout>
        <c:manualLayout>
          <c:xMode val="edge"/>
          <c:yMode val="edge"/>
          <c:x val="4.6126302083333334E-2"/>
          <c:y val="3.46020761245674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solidFill>
              <a:latin typeface="+mj-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152400" dist="2540000" dir="5400000" algn="ctr" rotWithShape="0">
              <a:srgbClr val="000000">
                <a:alpha val="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6"/>
          <c:spPr>
            <a:solidFill>
              <a:schemeClr val="bg1"/>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chemeClr val="accent6">
                  <a:lumMod val="20000"/>
                  <a:lumOff val="80000"/>
                  <a:alpha val="50000"/>
                </a:schemeClr>
              </a:gs>
              <a:gs pos="42000">
                <a:schemeClr val="accent6"/>
              </a:gs>
            </a:gsLst>
            <a:lin ang="5400000" scaled="1"/>
            <a:tileRect/>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Pivots!$C$17</c:f>
              <c:strCache>
                <c:ptCount val="1"/>
                <c:pt idx="0">
                  <c:v>Call Count2</c:v>
                </c:pt>
              </c:strCache>
            </c:strRef>
          </c:tx>
          <c:spPr>
            <a:gradFill flip="none" rotWithShape="1">
              <a:gsLst>
                <a:gs pos="100000">
                  <a:schemeClr val="accent6">
                    <a:lumMod val="20000"/>
                    <a:lumOff val="80000"/>
                    <a:alpha val="50000"/>
                  </a:schemeClr>
                </a:gs>
                <a:gs pos="42000">
                  <a:schemeClr val="accent6"/>
                </a:gs>
              </a:gsLst>
              <a:lin ang="5400000" scaled="1"/>
              <a:tileRect/>
            </a:gradFill>
            <a:ln w="25400">
              <a:noFill/>
            </a:ln>
            <a:effectLst/>
          </c:spPr>
          <c:cat>
            <c:strRef>
              <c:f>Pivots!$A$18:$A$30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Pivots!$C$18:$C$30</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4-7BAB-4860-9EB5-87BDC0F10853}"/>
            </c:ext>
          </c:extLst>
        </c:ser>
        <c:dLbls>
          <c:showLegendKey val="0"/>
          <c:showVal val="0"/>
          <c:showCatName val="0"/>
          <c:showSerName val="0"/>
          <c:showPercent val="0"/>
          <c:showBubbleSize val="0"/>
        </c:dLbls>
        <c:axId val="1323369568"/>
        <c:axId val="1323370048"/>
      </c:areaChart>
      <c:lineChart>
        <c:grouping val="standard"/>
        <c:varyColors val="0"/>
        <c:ser>
          <c:idx val="0"/>
          <c:order val="0"/>
          <c:tx>
            <c:strRef>
              <c:f>Pivots!$B$17</c:f>
              <c:strCache>
                <c:ptCount val="1"/>
                <c:pt idx="0">
                  <c:v>Call Count</c:v>
                </c:pt>
              </c:strCache>
            </c:strRef>
          </c:tx>
          <c:spPr>
            <a:ln w="28575" cap="rnd">
              <a:solidFill>
                <a:schemeClr val="accent6"/>
              </a:solidFill>
              <a:round/>
            </a:ln>
            <a:effectLst/>
          </c:spPr>
          <c:marker>
            <c:symbol val="circle"/>
            <c:size val="6"/>
            <c:spPr>
              <a:solidFill>
                <a:schemeClr val="bg1"/>
              </a:solidFill>
              <a:ln w="25400">
                <a:solidFill>
                  <a:schemeClr val="tx1"/>
                </a:solidFill>
              </a:ln>
              <a:effectLst/>
            </c:spPr>
          </c:marker>
          <c:cat>
            <c:strRef>
              <c:f>Pivots!$A$18:$A$30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Pivots!$B$18:$B$30</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3-7BAB-4860-9EB5-87BDC0F10853}"/>
            </c:ext>
          </c:extLst>
        </c:ser>
        <c:dLbls>
          <c:showLegendKey val="0"/>
          <c:showVal val="0"/>
          <c:showCatName val="0"/>
          <c:showSerName val="0"/>
          <c:showPercent val="0"/>
          <c:showBubbleSize val="0"/>
        </c:dLbls>
        <c:marker val="1"/>
        <c:smooth val="0"/>
        <c:axId val="1323369568"/>
        <c:axId val="1323370048"/>
      </c:lineChart>
      <c:catAx>
        <c:axId val="132336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370048"/>
        <c:crosses val="autoZero"/>
        <c:auto val="1"/>
        <c:lblAlgn val="ctr"/>
        <c:lblOffset val="100"/>
        <c:noMultiLvlLbl val="0"/>
      </c:catAx>
      <c:valAx>
        <c:axId val="13233700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36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Dashboard.xlsx]Pivots!Weekday Trend</c:name>
    <c:fmtId val="23"/>
  </c:pivotSource>
  <c:chart>
    <c:title>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accent5"/>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46D57"/>
              </a:gs>
              <a:gs pos="0">
                <a:schemeClr val="accent6"/>
              </a:gs>
              <a:gs pos="100000">
                <a:schemeClr val="accent6">
                  <a:lumMod val="60000"/>
                  <a:lumOff val="40000"/>
                </a:schemeClr>
              </a:gs>
            </a:gsLst>
            <a:lin ang="10800000" scaled="1"/>
            <a:tileRect/>
          </a:gra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Pivots!$B$33</c:f>
              <c:strCache>
                <c:ptCount val="1"/>
                <c:pt idx="0">
                  <c:v>Total</c:v>
                </c:pt>
              </c:strCache>
            </c:strRef>
          </c:tx>
          <c:spPr>
            <a:gradFill flip="none" rotWithShape="1">
              <a:gsLst>
                <a:gs pos="0">
                  <a:srgbClr val="F46D57"/>
                </a:gs>
                <a:gs pos="0">
                  <a:schemeClr val="accent6"/>
                </a:gs>
                <a:gs pos="100000">
                  <a:schemeClr val="accent6">
                    <a:lumMod val="60000"/>
                    <a:lumOff val="40000"/>
                  </a:schemeClr>
                </a:gs>
              </a:gsLst>
              <a:lin ang="10800000" scaled="1"/>
              <a:tileRect/>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Pivots!$A$34:$A$41</c:f>
              <c:strCache>
                <c:ptCount val="7"/>
                <c:pt idx="0">
                  <c:v>Sunday</c:v>
                </c:pt>
                <c:pt idx="1">
                  <c:v>Monday</c:v>
                </c:pt>
                <c:pt idx="2">
                  <c:v>Tuesday</c:v>
                </c:pt>
                <c:pt idx="3">
                  <c:v>Wednesday</c:v>
                </c:pt>
                <c:pt idx="4">
                  <c:v>Thursday</c:v>
                </c:pt>
                <c:pt idx="5">
                  <c:v>Friday</c:v>
                </c:pt>
                <c:pt idx="6">
                  <c:v>Saturday</c:v>
                </c:pt>
              </c:strCache>
            </c:strRef>
          </c:cat>
          <c:val>
            <c:numRef>
              <c:f>Pivots!$B$34:$B$41</c:f>
              <c:numCache>
                <c:formatCode>#,##0</c:formatCode>
                <c:ptCount val="7"/>
                <c:pt idx="0">
                  <c:v>146</c:v>
                </c:pt>
                <c:pt idx="1">
                  <c:v>133</c:v>
                </c:pt>
                <c:pt idx="2">
                  <c:v>138</c:v>
                </c:pt>
                <c:pt idx="3">
                  <c:v>153</c:v>
                </c:pt>
                <c:pt idx="4">
                  <c:v>128</c:v>
                </c:pt>
                <c:pt idx="5">
                  <c:v>141</c:v>
                </c:pt>
                <c:pt idx="6">
                  <c:v>161</c:v>
                </c:pt>
              </c:numCache>
            </c:numRef>
          </c:val>
          <c:extLst>
            <c:ext xmlns:c16="http://schemas.microsoft.com/office/drawing/2014/chart" uri="{C3380CC4-5D6E-409C-BE32-E72D297353CC}">
              <c16:uniqueId val="{00000000-C5F6-44E9-BE7F-FBA5CE1B6A74}"/>
            </c:ext>
          </c:extLst>
        </c:ser>
        <c:dLbls>
          <c:dLblPos val="outEnd"/>
          <c:showLegendKey val="0"/>
          <c:showVal val="1"/>
          <c:showCatName val="0"/>
          <c:showSerName val="0"/>
          <c:showPercent val="0"/>
          <c:showBubbleSize val="0"/>
        </c:dLbls>
        <c:gapWidth val="25"/>
        <c:axId val="1399106768"/>
        <c:axId val="1399121168"/>
      </c:barChart>
      <c:catAx>
        <c:axId val="13991067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121168"/>
        <c:crosses val="autoZero"/>
        <c:auto val="1"/>
        <c:lblAlgn val="ctr"/>
        <c:lblOffset val="100"/>
        <c:noMultiLvlLbl val="0"/>
      </c:catAx>
      <c:valAx>
        <c:axId val="1399121168"/>
        <c:scaling>
          <c:orientation val="minMax"/>
        </c:scaling>
        <c:delete val="1"/>
        <c:axPos val="t"/>
        <c:numFmt formatCode="#,##0" sourceLinked="1"/>
        <c:majorTickMark val="none"/>
        <c:minorTickMark val="none"/>
        <c:tickLblPos val="nextTo"/>
        <c:crossAx val="139910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0" i="0" u="none" strike="noStrike" kern="1200" spc="0" baseline="0">
                <a:solidFill>
                  <a:schemeClr val="accent5"/>
                </a:solidFill>
                <a:latin typeface="+mj-lt"/>
                <a:ea typeface="+mn-ea"/>
                <a:cs typeface="+mn-cs"/>
              </a:defRPr>
            </a:pPr>
            <a:r>
              <a:rPr lang="en-IN" sz="1400" b="0" i="0" u="none" strike="noStrike" kern="1200" spc="0" baseline="0">
                <a:solidFill>
                  <a:schemeClr val="accent5"/>
                </a:solidFill>
                <a:latin typeface="+mj-lt"/>
                <a:ea typeface="+mn-ea"/>
                <a:cs typeface="+mn-cs"/>
              </a:rPr>
              <a:t>Amount</a:t>
            </a:r>
          </a:p>
        </c:rich>
      </c:tx>
      <c:layout>
        <c:manualLayout>
          <c:xMode val="edge"/>
          <c:yMode val="edge"/>
          <c:x val="3.9110474451290969E-2"/>
          <c:y val="3.3233530975439025E-2"/>
        </c:manualLayout>
      </c:layout>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chemeClr val="accent5"/>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Pivots!$J$22:$J$26</c:f>
              <c:strCache>
                <c:ptCount val="5"/>
                <c:pt idx="0">
                  <c:v>R01</c:v>
                </c:pt>
                <c:pt idx="1">
                  <c:v>R02</c:v>
                </c:pt>
                <c:pt idx="2">
                  <c:v>R03</c:v>
                </c:pt>
                <c:pt idx="3">
                  <c:v>R04</c:v>
                </c:pt>
                <c:pt idx="4">
                  <c:v>R05</c:v>
                </c:pt>
              </c:strCache>
            </c:strRef>
          </c:cat>
          <c:val>
            <c:numRef>
              <c:f>Pivots!$K$22:$K$26</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57F7-4809-A2E7-BF95D3749703}"/>
            </c:ext>
          </c:extLst>
        </c:ser>
        <c:ser>
          <c:idx val="1"/>
          <c:order val="1"/>
          <c:tx>
            <c:strRef>
              <c:f>Pivots!$M$21</c:f>
              <c:strCache>
                <c:ptCount val="1"/>
                <c:pt idx="0">
                  <c:v>Sel. Calls</c:v>
                </c:pt>
              </c:strCache>
            </c:strRef>
          </c:tx>
          <c:spPr>
            <a:gradFill>
              <a:gsLst>
                <a:gs pos="62230">
                  <a:schemeClr val="accent5"/>
                </a:gs>
                <a:gs pos="80400">
                  <a:srgbClr val="FC964A"/>
                </a:gs>
                <a:gs pos="0">
                  <a:schemeClr val="accent5">
                    <a:lumMod val="60000"/>
                    <a:lumOff val="40000"/>
                  </a:schemeClr>
                </a:gs>
                <a:gs pos="100000">
                  <a:schemeClr val="accent5"/>
                </a:gs>
              </a:gsLst>
              <a:lin ang="0" scaled="1"/>
            </a:gradFill>
            <a:ln>
              <a:noFill/>
            </a:ln>
            <a:effectLst/>
          </c:spPr>
          <c:invertIfNegative val="0"/>
          <c:dLbls>
            <c:delete val="1"/>
          </c:dLbls>
          <c:val>
            <c:numRef>
              <c:f>Pivots!$M$22:$M$26</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57F7-4809-A2E7-BF95D3749703}"/>
            </c:ext>
          </c:extLst>
        </c:ser>
        <c:dLbls>
          <c:dLblPos val="outEnd"/>
          <c:showLegendKey val="0"/>
          <c:showVal val="1"/>
          <c:showCatName val="0"/>
          <c:showSerName val="0"/>
          <c:showPercent val="0"/>
          <c:showBubbleSize val="0"/>
        </c:dLbls>
        <c:gapWidth val="25"/>
        <c:overlap val="100"/>
        <c:axId val="586354208"/>
        <c:axId val="586358528"/>
      </c:barChart>
      <c:catAx>
        <c:axId val="586354208"/>
        <c:scaling>
          <c:orientation val="maxMin"/>
        </c:scaling>
        <c:delete val="1"/>
        <c:axPos val="l"/>
        <c:numFmt formatCode="General" sourceLinked="1"/>
        <c:majorTickMark val="none"/>
        <c:minorTickMark val="none"/>
        <c:tickLblPos val="nextTo"/>
        <c:crossAx val="586358528"/>
        <c:crosses val="autoZero"/>
        <c:auto val="1"/>
        <c:lblAlgn val="ctr"/>
        <c:lblOffset val="100"/>
        <c:noMultiLvlLbl val="0"/>
      </c:catAx>
      <c:valAx>
        <c:axId val="586358528"/>
        <c:scaling>
          <c:orientation val="minMax"/>
          <c:min val="0"/>
        </c:scaling>
        <c:delete val="1"/>
        <c:axPos val="t"/>
        <c:numFmt formatCode="General" sourceLinked="1"/>
        <c:majorTickMark val="none"/>
        <c:minorTickMark val="none"/>
        <c:tickLblPos val="nextTo"/>
        <c:crossAx val="58635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0" i="0" u="none" strike="noStrike" kern="1200" spc="0" baseline="0">
                <a:solidFill>
                  <a:schemeClr val="accent5"/>
                </a:solidFill>
                <a:latin typeface="+mj-lt"/>
                <a:ea typeface="+mn-ea"/>
                <a:cs typeface="+mn-cs"/>
              </a:defRPr>
            </a:pPr>
            <a:r>
              <a:rPr lang="en-IN" sz="1400" b="0" i="0" u="none" strike="noStrike" kern="1200" spc="0" baseline="0">
                <a:solidFill>
                  <a:schemeClr val="accent5"/>
                </a:solidFill>
                <a:latin typeface="+mj-lt"/>
                <a:ea typeface="+mn-ea"/>
                <a:cs typeface="+mn-cs"/>
              </a:rPr>
              <a:t>Calls</a:t>
            </a:r>
          </a:p>
        </c:rich>
      </c:tx>
      <c:layout>
        <c:manualLayout>
          <c:xMode val="edge"/>
          <c:yMode val="edge"/>
          <c:x val="8.0065651170495938E-2"/>
          <c:y val="3.3134324464176232E-2"/>
        </c:manualLayout>
      </c:layout>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chemeClr val="accent5"/>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Pivots!$J$22:$J$26</c:f>
              <c:strCache>
                <c:ptCount val="5"/>
                <c:pt idx="0">
                  <c:v>R01</c:v>
                </c:pt>
                <c:pt idx="1">
                  <c:v>R02</c:v>
                </c:pt>
                <c:pt idx="2">
                  <c:v>R03</c:v>
                </c:pt>
                <c:pt idx="3">
                  <c:v>R04</c:v>
                </c:pt>
                <c:pt idx="4">
                  <c:v>R05</c:v>
                </c:pt>
              </c:strCache>
            </c:strRef>
          </c:cat>
          <c:val>
            <c:numRef>
              <c:f>Pivots!$L$22:$L$26</c:f>
              <c:numCache>
                <c:formatCode>"₹"\ #,##0.0,"k"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D057-4BBD-BD79-AAE8910FAEF0}"/>
            </c:ext>
          </c:extLst>
        </c:ser>
        <c:ser>
          <c:idx val="1"/>
          <c:order val="1"/>
          <c:tx>
            <c:strRef>
              <c:f>Pivots!$N$21</c:f>
              <c:strCache>
                <c:ptCount val="1"/>
                <c:pt idx="0">
                  <c:v>Sel. Amount</c:v>
                </c:pt>
              </c:strCache>
            </c:strRef>
          </c:tx>
          <c:spPr>
            <a:gradFill>
              <a:gsLst>
                <a:gs pos="62230">
                  <a:schemeClr val="accent5"/>
                </a:gs>
                <a:gs pos="80400">
                  <a:srgbClr val="FC964A"/>
                </a:gs>
                <a:gs pos="0">
                  <a:schemeClr val="accent5">
                    <a:lumMod val="60000"/>
                    <a:lumOff val="40000"/>
                  </a:schemeClr>
                </a:gs>
                <a:gs pos="100000">
                  <a:schemeClr val="accent5"/>
                </a:gs>
              </a:gsLst>
              <a:lin ang="0" scaled="1"/>
            </a:gradFill>
            <a:ln>
              <a:noFill/>
            </a:ln>
            <a:effectLst/>
          </c:spPr>
          <c:invertIfNegative val="0"/>
          <c:dPt>
            <c:idx val="1"/>
            <c:invertIfNegative val="0"/>
            <c:bubble3D val="0"/>
            <c:spPr>
              <a:gradFill flip="none" rotWithShape="1">
                <a:gsLst>
                  <a:gs pos="62230">
                    <a:schemeClr val="accent5"/>
                  </a:gs>
                  <a:gs pos="80400">
                    <a:srgbClr val="FC964A"/>
                  </a:gs>
                  <a:gs pos="0">
                    <a:schemeClr val="accent5">
                      <a:lumMod val="60000"/>
                      <a:lumOff val="40000"/>
                    </a:schemeClr>
                  </a:gs>
                  <a:gs pos="100000">
                    <a:schemeClr val="accent5"/>
                  </a:gs>
                </a:gsLst>
                <a:lin ang="0" scaled="1"/>
                <a:tileRect/>
              </a:gradFill>
              <a:ln>
                <a:noFill/>
              </a:ln>
              <a:effectLst/>
            </c:spPr>
            <c:extLst>
              <c:ext xmlns:c16="http://schemas.microsoft.com/office/drawing/2014/chart" uri="{C3380CC4-5D6E-409C-BE32-E72D297353CC}">
                <c16:uniqueId val="{00000002-D057-4BBD-BD79-AAE8910FAEF0}"/>
              </c:ext>
            </c:extLst>
          </c:dPt>
          <c:dLbls>
            <c:delete val="1"/>
          </c:dLbls>
          <c:val>
            <c:numRef>
              <c:f>Pivots!$N$22:$N$26</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3-D057-4BBD-BD79-AAE8910FAEF0}"/>
            </c:ext>
          </c:extLst>
        </c:ser>
        <c:dLbls>
          <c:dLblPos val="outEnd"/>
          <c:showLegendKey val="0"/>
          <c:showVal val="1"/>
          <c:showCatName val="0"/>
          <c:showSerName val="0"/>
          <c:showPercent val="0"/>
          <c:showBubbleSize val="0"/>
        </c:dLbls>
        <c:gapWidth val="25"/>
        <c:overlap val="100"/>
        <c:axId val="586354208"/>
        <c:axId val="586358528"/>
      </c:barChart>
      <c:catAx>
        <c:axId val="5863542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358528"/>
        <c:crosses val="autoZero"/>
        <c:auto val="1"/>
        <c:lblAlgn val="ctr"/>
        <c:lblOffset val="100"/>
        <c:noMultiLvlLbl val="0"/>
      </c:catAx>
      <c:valAx>
        <c:axId val="586358528"/>
        <c:scaling>
          <c:orientation val="minMax"/>
        </c:scaling>
        <c:delete val="1"/>
        <c:axPos val="t"/>
        <c:numFmt formatCode="&quot;₹&quot;\ #,##0.0,&quot;k&quot;" sourceLinked="1"/>
        <c:majorTickMark val="none"/>
        <c:minorTickMark val="none"/>
        <c:tickLblPos val="nextTo"/>
        <c:crossAx val="58635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Dashboard.xlsx]Pivots!PivotTable3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4">
                    <a:lumMod val="75000"/>
                  </a:schemeClr>
                </a:solidFill>
                <a:latin typeface="+mj-lt"/>
              </a:rPr>
              <a:t>Male</a:t>
            </a:r>
            <a:r>
              <a:rPr lang="en-IN">
                <a:latin typeface="+mj-lt"/>
              </a:rPr>
              <a:t> v/s </a:t>
            </a:r>
            <a:r>
              <a:rPr lang="en-IN">
                <a:solidFill>
                  <a:schemeClr val="accent5">
                    <a:lumMod val="75000"/>
                  </a:schemeClr>
                </a:solidFill>
                <a:latin typeface="+mj-lt"/>
              </a:rPr>
              <a:t>Female</a:t>
            </a:r>
            <a:r>
              <a:rPr lang="en-IN">
                <a:latin typeface="+mj-lt"/>
              </a:rPr>
              <a:t> Callers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Pivots!$B$45:$B$46</c:f>
              <c:strCache>
                <c:ptCount val="1"/>
                <c:pt idx="0">
                  <c:v>Female</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Pivots!$A$47:$A$50</c:f>
              <c:strCache>
                <c:ptCount val="3"/>
                <c:pt idx="0">
                  <c:v>Cincinnati</c:v>
                </c:pt>
                <c:pt idx="1">
                  <c:v>Cleveland</c:v>
                </c:pt>
                <c:pt idx="2">
                  <c:v>Columbus</c:v>
                </c:pt>
              </c:strCache>
            </c:strRef>
          </c:cat>
          <c:val>
            <c:numRef>
              <c:f>Pivots!$B$47:$B$50</c:f>
              <c:numCache>
                <c:formatCode>#,##0</c:formatCode>
                <c:ptCount val="3"/>
                <c:pt idx="0">
                  <c:v>144</c:v>
                </c:pt>
                <c:pt idx="1">
                  <c:v>326</c:v>
                </c:pt>
                <c:pt idx="2">
                  <c:v>129</c:v>
                </c:pt>
              </c:numCache>
            </c:numRef>
          </c:val>
          <c:extLst>
            <c:ext xmlns:c16="http://schemas.microsoft.com/office/drawing/2014/chart" uri="{C3380CC4-5D6E-409C-BE32-E72D297353CC}">
              <c16:uniqueId val="{00000000-E09E-486D-B911-BA29D5FCDEC3}"/>
            </c:ext>
          </c:extLst>
        </c:ser>
        <c:ser>
          <c:idx val="1"/>
          <c:order val="1"/>
          <c:tx>
            <c:strRef>
              <c:f>Pivots!$C$45:$C$46</c:f>
              <c:strCache>
                <c:ptCount val="1"/>
                <c:pt idx="0">
                  <c:v>Male</c:v>
                </c:pt>
              </c:strCache>
            </c:strRef>
          </c:tx>
          <c:spPr>
            <a:solidFill>
              <a:schemeClr val="accent4">
                <a:lumMod val="75000"/>
              </a:schemeClr>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Pivots!$A$47:$A$50</c:f>
              <c:strCache>
                <c:ptCount val="3"/>
                <c:pt idx="0">
                  <c:v>Cincinnati</c:v>
                </c:pt>
                <c:pt idx="1">
                  <c:v>Cleveland</c:v>
                </c:pt>
                <c:pt idx="2">
                  <c:v>Columbus</c:v>
                </c:pt>
              </c:strCache>
            </c:strRef>
          </c:cat>
          <c:val>
            <c:numRef>
              <c:f>Pivots!$C$47:$C$50</c:f>
              <c:numCache>
                <c:formatCode>#,##0</c:formatCode>
                <c:ptCount val="3"/>
                <c:pt idx="0">
                  <c:v>132</c:v>
                </c:pt>
                <c:pt idx="1">
                  <c:v>63</c:v>
                </c:pt>
                <c:pt idx="2">
                  <c:v>206</c:v>
                </c:pt>
              </c:numCache>
            </c:numRef>
          </c:val>
          <c:extLst>
            <c:ext xmlns:c16="http://schemas.microsoft.com/office/drawing/2014/chart" uri="{C3380CC4-5D6E-409C-BE32-E72D297353CC}">
              <c16:uniqueId val="{00000001-E09E-486D-B911-BA29D5FCDEC3}"/>
            </c:ext>
          </c:extLst>
        </c:ser>
        <c:dLbls>
          <c:dLblPos val="ctr"/>
          <c:showLegendKey val="0"/>
          <c:showVal val="1"/>
          <c:showCatName val="0"/>
          <c:showSerName val="0"/>
          <c:showPercent val="0"/>
          <c:showBubbleSize val="0"/>
        </c:dLbls>
        <c:gapWidth val="25"/>
        <c:overlap val="100"/>
        <c:axId val="1310850928"/>
        <c:axId val="1310855728"/>
      </c:barChart>
      <c:catAx>
        <c:axId val="1310850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855728"/>
        <c:crosses val="autoZero"/>
        <c:auto val="1"/>
        <c:lblAlgn val="ctr"/>
        <c:lblOffset val="100"/>
        <c:noMultiLvlLbl val="0"/>
      </c:catAx>
      <c:valAx>
        <c:axId val="1310855728"/>
        <c:scaling>
          <c:orientation val="minMax"/>
        </c:scaling>
        <c:delete val="1"/>
        <c:axPos val="l"/>
        <c:numFmt formatCode="0%" sourceLinked="1"/>
        <c:majorTickMark val="out"/>
        <c:minorTickMark val="none"/>
        <c:tickLblPos val="nextTo"/>
        <c:crossAx val="131085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[Call Center Dashboard.xlsx]Pivots!Rep Satisfaction</c:name>
    <c:fmtId val="17"/>
  </c:pivotSource>
  <c:chart>
    <c:title>
      <c:tx>
        <c:rich>
          <a:bodyPr rot="0" spcFirstLastPara="1" vertOverflow="ellipsis" vert="horz" wrap="square" anchor="ctr" anchorCtr="1"/>
          <a:lstStyle/>
          <a:p>
            <a:pPr>
              <a:defRPr lang="en-US" sz="1400" b="0" i="0" u="none" strike="noStrike" kern="1200" spc="0" baseline="0">
                <a:solidFill>
                  <a:schemeClr val="accent5"/>
                </a:solidFill>
                <a:latin typeface="+mj-lt"/>
                <a:ea typeface="+mn-ea"/>
                <a:cs typeface="+mn-cs"/>
              </a:defRPr>
            </a:pPr>
            <a:r>
              <a:rPr lang="en-US" sz="1400" b="0" i="0" u="none" strike="noStrike" kern="1200" spc="0" baseline="0">
                <a:solidFill>
                  <a:schemeClr val="accent1">
                    <a:lumMod val="75000"/>
                  </a:schemeClr>
                </a:solidFill>
                <a:latin typeface="+mj-lt"/>
                <a:ea typeface="+mn-ea"/>
                <a:cs typeface="+mn-cs"/>
              </a:rPr>
              <a:t>Rating</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accent5"/>
              </a:solidFill>
              <a:latin typeface="+mj-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Pivots!$A$54:$A$60</c:f>
              <c:strCache>
                <c:ptCount val="6"/>
                <c:pt idx="0">
                  <c:v>0</c:v>
                </c:pt>
                <c:pt idx="1">
                  <c:v>1</c:v>
                </c:pt>
                <c:pt idx="2">
                  <c:v>2</c:v>
                </c:pt>
                <c:pt idx="3">
                  <c:v>3</c:v>
                </c:pt>
                <c:pt idx="4">
                  <c:v>4</c:v>
                </c:pt>
                <c:pt idx="5">
                  <c:v>5</c:v>
                </c:pt>
              </c:strCache>
            </c:strRef>
          </c:cat>
          <c:val>
            <c:numRef>
              <c:f>Pivots!$B$54:$B$60</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9EB9-4CFD-9905-02B6EAA73FBC}"/>
            </c:ext>
          </c:extLst>
        </c:ser>
        <c:dLbls>
          <c:showLegendKey val="0"/>
          <c:showVal val="0"/>
          <c:showCatName val="0"/>
          <c:showSerName val="0"/>
          <c:showPercent val="0"/>
          <c:showBubbleSize val="0"/>
        </c:dLbls>
        <c:gapWidth val="10"/>
        <c:overlap val="-27"/>
        <c:axId val="995641183"/>
        <c:axId val="995643103"/>
      </c:barChart>
      <c:catAx>
        <c:axId val="99564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643103"/>
        <c:crosses val="autoZero"/>
        <c:auto val="1"/>
        <c:lblAlgn val="ctr"/>
        <c:lblOffset val="100"/>
        <c:noMultiLvlLbl val="0"/>
      </c:catAx>
      <c:valAx>
        <c:axId val="9956431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64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image" Target="../media/image20.svg"/><Relationship Id="rId13" Type="http://schemas.openxmlformats.org/officeDocument/2006/relationships/chart" Target="../charts/chart3.xml"/><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chart" Target="../charts/chart2.xml"/><Relationship Id="rId2" Type="http://schemas.openxmlformats.org/officeDocument/2006/relationships/image" Target="../media/image14.svg"/><Relationship Id="rId16" Type="http://schemas.openxmlformats.org/officeDocument/2006/relationships/chart" Target="../charts/chart6.xml"/><Relationship Id="rId1" Type="http://schemas.openxmlformats.org/officeDocument/2006/relationships/image" Target="../media/image13.png"/><Relationship Id="rId6" Type="http://schemas.openxmlformats.org/officeDocument/2006/relationships/image" Target="../media/image18.svg"/><Relationship Id="rId11" Type="http://schemas.openxmlformats.org/officeDocument/2006/relationships/chart" Target="../charts/chart1.xml"/><Relationship Id="rId5" Type="http://schemas.openxmlformats.org/officeDocument/2006/relationships/image" Target="../media/image17.png"/><Relationship Id="rId15" Type="http://schemas.openxmlformats.org/officeDocument/2006/relationships/chart" Target="../charts/chart5.xml"/><Relationship Id="rId10" Type="http://schemas.openxmlformats.org/officeDocument/2006/relationships/image" Target="../media/image22.svg"/><Relationship Id="rId4" Type="http://schemas.openxmlformats.org/officeDocument/2006/relationships/image" Target="../media/image16.svg"/><Relationship Id="rId9" Type="http://schemas.openxmlformats.org/officeDocument/2006/relationships/image" Target="../media/image21.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739862</xdr:colOff>
      <xdr:row>28</xdr:row>
      <xdr:rowOff>43329</xdr:rowOff>
    </xdr:from>
    <xdr:to>
      <xdr:col>10</xdr:col>
      <xdr:colOff>145301</xdr:colOff>
      <xdr:row>42</xdr:row>
      <xdr:rowOff>64285</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2320B838-D977-E20F-57DB-57BB006663AA}"/>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097236" y="5148262"/>
              <a:ext cx="1831684" cy="2573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41672</xdr:colOff>
      <xdr:row>7</xdr:row>
      <xdr:rowOff>66609</xdr:rowOff>
    </xdr:from>
    <xdr:to>
      <xdr:col>1</xdr:col>
      <xdr:colOff>451322</xdr:colOff>
      <xdr:row>9</xdr:row>
      <xdr:rowOff>95259</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14375" y="2043047"/>
          <a:ext cx="409650" cy="397743"/>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15</xdr:row>
      <xdr:rowOff>181810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190500</xdr:colOff>
      <xdr:row>3</xdr:row>
      <xdr:rowOff>30480</xdr:rowOff>
    </xdr:from>
    <xdr:to>
      <xdr:col>3</xdr:col>
      <xdr:colOff>365760</xdr:colOff>
      <xdr:row>7</xdr:row>
      <xdr:rowOff>91440</xdr:rowOff>
    </xdr:to>
    <xdr:sp macro="" textlink="Pivots!A4">
      <xdr:nvSpPr>
        <xdr:cNvPr id="2" name="Rectangle 1">
          <a:extLst>
            <a:ext uri="{FF2B5EF4-FFF2-40B4-BE49-F238E27FC236}">
              <a16:creationId xmlns:a16="http://schemas.microsoft.com/office/drawing/2014/main" id="{7F8E9DDE-A0F2-C659-4AC1-FAC293F8CC54}"/>
            </a:ext>
          </a:extLst>
        </xdr:cNvPr>
        <xdr:cNvSpPr/>
      </xdr:nvSpPr>
      <xdr:spPr>
        <a:xfrm>
          <a:off x="441960" y="579120"/>
          <a:ext cx="1120140" cy="792480"/>
        </a:xfrm>
        <a:prstGeom prst="rect">
          <a:avLst/>
        </a:prstGeom>
        <a:solidFill>
          <a:schemeClr val="accent6"/>
        </a:solidFill>
        <a:ln>
          <a:solidFill>
            <a:schemeClr val="tx1"/>
          </a:solid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C871A04-1B01-47C2-9C5A-97D1C122F499}" type="TxLink">
            <a:rPr lang="en-US" sz="1600" b="0" i="0" u="none" strike="noStrike">
              <a:solidFill>
                <a:schemeClr val="bg1"/>
              </a:solidFill>
              <a:latin typeface="+mj-lt"/>
            </a:rPr>
            <a:pPr algn="ctr"/>
            <a:t>1,000</a:t>
          </a:fld>
          <a:endParaRPr lang="en-IN" sz="1600">
            <a:solidFill>
              <a:schemeClr val="bg1"/>
            </a:solidFill>
            <a:latin typeface="+mj-lt"/>
          </a:endParaRPr>
        </a:p>
      </xdr:txBody>
    </xdr:sp>
    <xdr:clientData/>
  </xdr:twoCellAnchor>
  <xdr:twoCellAnchor>
    <xdr:from>
      <xdr:col>2</xdr:col>
      <xdr:colOff>129540</xdr:colOff>
      <xdr:row>3</xdr:row>
      <xdr:rowOff>83820</xdr:rowOff>
    </xdr:from>
    <xdr:to>
      <xdr:col>3</xdr:col>
      <xdr:colOff>175260</xdr:colOff>
      <xdr:row>4</xdr:row>
      <xdr:rowOff>121920</xdr:rowOff>
    </xdr:to>
    <xdr:sp macro="" textlink="">
      <xdr:nvSpPr>
        <xdr:cNvPr id="3" name="TextBox 2">
          <a:extLst>
            <a:ext uri="{FF2B5EF4-FFF2-40B4-BE49-F238E27FC236}">
              <a16:creationId xmlns:a16="http://schemas.microsoft.com/office/drawing/2014/main" id="{AF827929-A951-3796-71B2-F54AE07FC82F}"/>
            </a:ext>
          </a:extLst>
        </xdr:cNvPr>
        <xdr:cNvSpPr txBox="1"/>
      </xdr:nvSpPr>
      <xdr:spPr>
        <a:xfrm>
          <a:off x="655320" y="632460"/>
          <a:ext cx="7162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mj-lt"/>
            </a:rPr>
            <a:t>Calls</a:t>
          </a:r>
        </a:p>
      </xdr:txBody>
    </xdr:sp>
    <xdr:clientData/>
  </xdr:twoCellAnchor>
  <xdr:twoCellAnchor editAs="oneCell">
    <xdr:from>
      <xdr:col>1</xdr:col>
      <xdr:colOff>205740</xdr:colOff>
      <xdr:row>6</xdr:row>
      <xdr:rowOff>22861</xdr:rowOff>
    </xdr:from>
    <xdr:to>
      <xdr:col>2</xdr:col>
      <xdr:colOff>137160</xdr:colOff>
      <xdr:row>7</xdr:row>
      <xdr:rowOff>39741</xdr:rowOff>
    </xdr:to>
    <xdr:pic>
      <xdr:nvPicPr>
        <xdr:cNvPr id="4" name="Graphic 3" descr="Receiver with solid fill">
          <a:extLst>
            <a:ext uri="{FF2B5EF4-FFF2-40B4-BE49-F238E27FC236}">
              <a16:creationId xmlns:a16="http://schemas.microsoft.com/office/drawing/2014/main" id="{4C5F25F8-C892-4D38-B315-B3499EC1CE6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7200" y="1120141"/>
          <a:ext cx="205740" cy="199760"/>
        </a:xfrm>
        <a:prstGeom prst="rect">
          <a:avLst/>
        </a:prstGeom>
      </xdr:spPr>
    </xdr:pic>
    <xdr:clientData/>
  </xdr:twoCellAnchor>
  <xdr:twoCellAnchor>
    <xdr:from>
      <xdr:col>2</xdr:col>
      <xdr:colOff>213360</xdr:colOff>
      <xdr:row>6</xdr:row>
      <xdr:rowOff>22860</xdr:rowOff>
    </xdr:from>
    <xdr:to>
      <xdr:col>3</xdr:col>
      <xdr:colOff>68580</xdr:colOff>
      <xdr:row>7</xdr:row>
      <xdr:rowOff>53340</xdr:rowOff>
    </xdr:to>
    <xdr:sp macro="" textlink="Pivots!A10">
      <xdr:nvSpPr>
        <xdr:cNvPr id="5" name="TextBox 4">
          <a:extLst>
            <a:ext uri="{FF2B5EF4-FFF2-40B4-BE49-F238E27FC236}">
              <a16:creationId xmlns:a16="http://schemas.microsoft.com/office/drawing/2014/main" id="{6BFA9160-B4A1-DCE1-5BF8-469DE730D296}"/>
            </a:ext>
          </a:extLst>
        </xdr:cNvPr>
        <xdr:cNvSpPr txBox="1"/>
      </xdr:nvSpPr>
      <xdr:spPr>
        <a:xfrm>
          <a:off x="739140" y="1120140"/>
          <a:ext cx="5257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83E5B2-A006-4590-A253-7D3449C299F3}" type="TxLink">
            <a:rPr lang="en-US" sz="1100" b="0" i="0" u="none" strike="noStrike">
              <a:solidFill>
                <a:schemeClr val="accent6">
                  <a:lumMod val="60000"/>
                  <a:lumOff val="40000"/>
                </a:schemeClr>
              </a:solidFill>
              <a:latin typeface="+mn-lt"/>
            </a:rPr>
            <a:pPr algn="ctr"/>
            <a:t>1,000</a:t>
          </a:fld>
          <a:endParaRPr lang="en-IN" sz="1100">
            <a:solidFill>
              <a:schemeClr val="accent6">
                <a:lumMod val="60000"/>
                <a:lumOff val="40000"/>
              </a:schemeClr>
            </a:solidFill>
            <a:latin typeface="+mn-lt"/>
          </a:endParaRPr>
        </a:p>
      </xdr:txBody>
    </xdr:sp>
    <xdr:clientData/>
  </xdr:twoCellAnchor>
  <xdr:twoCellAnchor>
    <xdr:from>
      <xdr:col>1</xdr:col>
      <xdr:colOff>198120</xdr:colOff>
      <xdr:row>8</xdr:row>
      <xdr:rowOff>99060</xdr:rowOff>
    </xdr:from>
    <xdr:to>
      <xdr:col>3</xdr:col>
      <xdr:colOff>373380</xdr:colOff>
      <xdr:row>12</xdr:row>
      <xdr:rowOff>160020</xdr:rowOff>
    </xdr:to>
    <xdr:sp macro="" textlink="Pivots!B4">
      <xdr:nvSpPr>
        <xdr:cNvPr id="6" name="Rectangle 5">
          <a:extLst>
            <a:ext uri="{FF2B5EF4-FFF2-40B4-BE49-F238E27FC236}">
              <a16:creationId xmlns:a16="http://schemas.microsoft.com/office/drawing/2014/main" id="{FC82C762-B2EC-4594-8697-B8D91F3F8C43}"/>
            </a:ext>
          </a:extLst>
        </xdr:cNvPr>
        <xdr:cNvSpPr/>
      </xdr:nvSpPr>
      <xdr:spPr>
        <a:xfrm>
          <a:off x="449580" y="1562100"/>
          <a:ext cx="1120140" cy="792480"/>
        </a:xfrm>
        <a:prstGeom prst="rect">
          <a:avLst/>
        </a:prstGeom>
        <a:solidFill>
          <a:schemeClr val="accent6"/>
        </a:solidFill>
        <a:ln>
          <a:solidFill>
            <a:schemeClr val="tx1"/>
          </a:solid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C62080A-0376-4D13-AE24-1E1F26F6FF6E}" type="TxLink">
            <a:rPr lang="en-US" sz="1600" b="0" i="0" u="none" strike="noStrike">
              <a:solidFill>
                <a:schemeClr val="bg1"/>
              </a:solidFill>
              <a:latin typeface="+mj-lt"/>
              <a:ea typeface="+mn-ea"/>
              <a:cs typeface="+mn-cs"/>
            </a:rPr>
            <a:pPr marL="0" indent="0" algn="ctr"/>
            <a:t>₹ 96,623</a:t>
          </a:fld>
          <a:endParaRPr lang="en-IN" sz="1600" b="0" i="0" u="none" strike="noStrike">
            <a:solidFill>
              <a:schemeClr val="bg1"/>
            </a:solidFill>
            <a:latin typeface="+mj-lt"/>
            <a:ea typeface="+mn-ea"/>
            <a:cs typeface="+mn-cs"/>
          </a:endParaRPr>
        </a:p>
      </xdr:txBody>
    </xdr:sp>
    <xdr:clientData/>
  </xdr:twoCellAnchor>
  <xdr:twoCellAnchor>
    <xdr:from>
      <xdr:col>1</xdr:col>
      <xdr:colOff>236220</xdr:colOff>
      <xdr:row>8</xdr:row>
      <xdr:rowOff>129540</xdr:rowOff>
    </xdr:from>
    <xdr:to>
      <xdr:col>3</xdr:col>
      <xdr:colOff>434340</xdr:colOff>
      <xdr:row>9</xdr:row>
      <xdr:rowOff>160020</xdr:rowOff>
    </xdr:to>
    <xdr:sp macro="" textlink="">
      <xdr:nvSpPr>
        <xdr:cNvPr id="7" name="TextBox 6">
          <a:extLst>
            <a:ext uri="{FF2B5EF4-FFF2-40B4-BE49-F238E27FC236}">
              <a16:creationId xmlns:a16="http://schemas.microsoft.com/office/drawing/2014/main" id="{4F80F8F5-6976-4586-900A-2EF725D8F950}"/>
            </a:ext>
          </a:extLst>
        </xdr:cNvPr>
        <xdr:cNvSpPr txBox="1"/>
      </xdr:nvSpPr>
      <xdr:spPr>
        <a:xfrm>
          <a:off x="487680" y="1592580"/>
          <a:ext cx="11430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mj-lt"/>
            </a:rPr>
            <a:t>Total Amount</a:t>
          </a:r>
        </a:p>
      </xdr:txBody>
    </xdr:sp>
    <xdr:clientData/>
  </xdr:twoCellAnchor>
  <xdr:twoCellAnchor editAs="oneCell">
    <xdr:from>
      <xdr:col>1</xdr:col>
      <xdr:colOff>216097</xdr:colOff>
      <xdr:row>11</xdr:row>
      <xdr:rowOff>99061</xdr:rowOff>
    </xdr:from>
    <xdr:to>
      <xdr:col>2</xdr:col>
      <xdr:colOff>124656</xdr:colOff>
      <xdr:row>12</xdr:row>
      <xdr:rowOff>99060</xdr:rowOff>
    </xdr:to>
    <xdr:pic>
      <xdr:nvPicPr>
        <xdr:cNvPr id="8" name="Graphic 7">
          <a:extLst>
            <a:ext uri="{FF2B5EF4-FFF2-40B4-BE49-F238E27FC236}">
              <a16:creationId xmlns:a16="http://schemas.microsoft.com/office/drawing/2014/main" id="{1899AA9E-A7C3-4276-A019-40ED60B3A09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67557" y="2110741"/>
          <a:ext cx="182879" cy="182879"/>
        </a:xfrm>
        <a:prstGeom prst="rect">
          <a:avLst/>
        </a:prstGeom>
        <a:effectLst>
          <a:outerShdw blurRad="254000" dist="127000" dir="2700000" algn="tl" rotWithShape="0">
            <a:prstClr val="black">
              <a:alpha val="50000"/>
            </a:prstClr>
          </a:outerShdw>
        </a:effectLst>
      </xdr:spPr>
    </xdr:pic>
    <xdr:clientData/>
  </xdr:twoCellAnchor>
  <xdr:twoCellAnchor>
    <xdr:from>
      <xdr:col>2</xdr:col>
      <xdr:colOff>106680</xdr:colOff>
      <xdr:row>11</xdr:row>
      <xdr:rowOff>76200</xdr:rowOff>
    </xdr:from>
    <xdr:to>
      <xdr:col>3</xdr:col>
      <xdr:colOff>167640</xdr:colOff>
      <xdr:row>12</xdr:row>
      <xdr:rowOff>160020</xdr:rowOff>
    </xdr:to>
    <xdr:sp macro="" textlink="Pivots!B10">
      <xdr:nvSpPr>
        <xdr:cNvPr id="9" name="TextBox 8">
          <a:extLst>
            <a:ext uri="{FF2B5EF4-FFF2-40B4-BE49-F238E27FC236}">
              <a16:creationId xmlns:a16="http://schemas.microsoft.com/office/drawing/2014/main" id="{546F9EA3-1E58-4CF6-967C-637B48C0D010}"/>
            </a:ext>
          </a:extLst>
        </xdr:cNvPr>
        <xdr:cNvSpPr txBox="1"/>
      </xdr:nvSpPr>
      <xdr:spPr>
        <a:xfrm>
          <a:off x="632460" y="2087880"/>
          <a:ext cx="7315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08793DC-035E-4B0E-8F9F-763073A81D43}" type="TxLink">
            <a:rPr lang="en-US" sz="1100" b="0" i="0" u="none" strike="noStrike">
              <a:solidFill>
                <a:schemeClr val="accent6">
                  <a:lumMod val="60000"/>
                  <a:lumOff val="40000"/>
                </a:schemeClr>
              </a:solidFill>
              <a:latin typeface="+mn-lt"/>
              <a:ea typeface="+mn-ea"/>
              <a:cs typeface="+mn-cs"/>
            </a:rPr>
            <a:pPr marL="0" indent="0" algn="ctr"/>
            <a:t>₹ 96,623</a:t>
          </a:fld>
          <a:endParaRPr lang="en-IN" sz="1100" b="0" i="0" u="none" strike="noStrike">
            <a:solidFill>
              <a:schemeClr val="accent6">
                <a:lumMod val="60000"/>
                <a:lumOff val="40000"/>
              </a:schemeClr>
            </a:solidFill>
            <a:latin typeface="+mn-lt"/>
            <a:ea typeface="+mn-ea"/>
            <a:cs typeface="+mn-cs"/>
          </a:endParaRPr>
        </a:p>
      </xdr:txBody>
    </xdr:sp>
    <xdr:clientData/>
  </xdr:twoCellAnchor>
  <xdr:twoCellAnchor>
    <xdr:from>
      <xdr:col>1</xdr:col>
      <xdr:colOff>205740</xdr:colOff>
      <xdr:row>13</xdr:row>
      <xdr:rowOff>152400</xdr:rowOff>
    </xdr:from>
    <xdr:to>
      <xdr:col>3</xdr:col>
      <xdr:colOff>381000</xdr:colOff>
      <xdr:row>18</xdr:row>
      <xdr:rowOff>30480</xdr:rowOff>
    </xdr:to>
    <xdr:sp macro="" textlink="Pivots!C4">
      <xdr:nvSpPr>
        <xdr:cNvPr id="10" name="Rectangle 9">
          <a:extLst>
            <a:ext uri="{FF2B5EF4-FFF2-40B4-BE49-F238E27FC236}">
              <a16:creationId xmlns:a16="http://schemas.microsoft.com/office/drawing/2014/main" id="{0F090B0E-E1AF-4A1F-9373-220469AA7AED}"/>
            </a:ext>
          </a:extLst>
        </xdr:cNvPr>
        <xdr:cNvSpPr/>
      </xdr:nvSpPr>
      <xdr:spPr>
        <a:xfrm>
          <a:off x="457200" y="2529840"/>
          <a:ext cx="1120140" cy="792480"/>
        </a:xfrm>
        <a:prstGeom prst="rect">
          <a:avLst/>
        </a:prstGeom>
        <a:solidFill>
          <a:schemeClr val="accent6"/>
        </a:solidFill>
        <a:ln>
          <a:solidFill>
            <a:schemeClr val="tx1"/>
          </a:solid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E01A0A8-6D9F-41C7-9626-94AE99C5AFC4}" type="TxLink">
            <a:rPr lang="en-US" sz="1600" b="0" i="0" u="none" strike="noStrike">
              <a:solidFill>
                <a:schemeClr val="bg1"/>
              </a:solidFill>
              <a:latin typeface="+mj-lt"/>
              <a:ea typeface="+mn-ea"/>
              <a:cs typeface="+mn-cs"/>
            </a:rPr>
            <a:pPr marL="0" indent="0" algn="ctr"/>
            <a:t>89,850</a:t>
          </a:fld>
          <a:endParaRPr lang="en-IN" sz="1600" b="0" i="0" u="none" strike="noStrike">
            <a:solidFill>
              <a:schemeClr val="bg1"/>
            </a:solidFill>
            <a:latin typeface="+mj-lt"/>
            <a:ea typeface="+mn-ea"/>
            <a:cs typeface="+mn-cs"/>
          </a:endParaRPr>
        </a:p>
      </xdr:txBody>
    </xdr:sp>
    <xdr:clientData/>
  </xdr:twoCellAnchor>
  <xdr:twoCellAnchor>
    <xdr:from>
      <xdr:col>2</xdr:col>
      <xdr:colOff>45720</xdr:colOff>
      <xdr:row>14</xdr:row>
      <xdr:rowOff>22860</xdr:rowOff>
    </xdr:from>
    <xdr:to>
      <xdr:col>3</xdr:col>
      <xdr:colOff>266700</xdr:colOff>
      <xdr:row>15</xdr:row>
      <xdr:rowOff>22860</xdr:rowOff>
    </xdr:to>
    <xdr:sp macro="" textlink="">
      <xdr:nvSpPr>
        <xdr:cNvPr id="11" name="TextBox 10">
          <a:extLst>
            <a:ext uri="{FF2B5EF4-FFF2-40B4-BE49-F238E27FC236}">
              <a16:creationId xmlns:a16="http://schemas.microsoft.com/office/drawing/2014/main" id="{17B943E8-E675-4168-AA22-B3D47C17CDE8}"/>
            </a:ext>
          </a:extLst>
        </xdr:cNvPr>
        <xdr:cNvSpPr txBox="1"/>
      </xdr:nvSpPr>
      <xdr:spPr>
        <a:xfrm>
          <a:off x="571500" y="2583180"/>
          <a:ext cx="89154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mj-lt"/>
            </a:rPr>
            <a:t>Duration</a:t>
          </a:r>
        </a:p>
      </xdr:txBody>
    </xdr:sp>
    <xdr:clientData/>
  </xdr:twoCellAnchor>
  <xdr:twoCellAnchor editAs="oneCell">
    <xdr:from>
      <xdr:col>1</xdr:col>
      <xdr:colOff>223946</xdr:colOff>
      <xdr:row>16</xdr:row>
      <xdr:rowOff>152401</xdr:rowOff>
    </xdr:from>
    <xdr:to>
      <xdr:col>2</xdr:col>
      <xdr:colOff>147745</xdr:colOff>
      <xdr:row>17</xdr:row>
      <xdr:rowOff>167640</xdr:rowOff>
    </xdr:to>
    <xdr:pic>
      <xdr:nvPicPr>
        <xdr:cNvPr id="12" name="Graphic 11">
          <a:extLst>
            <a:ext uri="{FF2B5EF4-FFF2-40B4-BE49-F238E27FC236}">
              <a16:creationId xmlns:a16="http://schemas.microsoft.com/office/drawing/2014/main" id="{FCBDC5B6-0D9E-420F-8038-0D0DE508331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75406" y="3078481"/>
          <a:ext cx="198119" cy="198119"/>
        </a:xfrm>
        <a:prstGeom prst="rect">
          <a:avLst/>
        </a:prstGeom>
      </xdr:spPr>
    </xdr:pic>
    <xdr:clientData/>
  </xdr:twoCellAnchor>
  <xdr:twoCellAnchor>
    <xdr:from>
      <xdr:col>2</xdr:col>
      <xdr:colOff>243840</xdr:colOff>
      <xdr:row>16</xdr:row>
      <xdr:rowOff>152400</xdr:rowOff>
    </xdr:from>
    <xdr:to>
      <xdr:col>3</xdr:col>
      <xdr:colOff>99060</xdr:colOff>
      <xdr:row>18</xdr:row>
      <xdr:rowOff>0</xdr:rowOff>
    </xdr:to>
    <xdr:sp macro="" textlink="Pivots!C10">
      <xdr:nvSpPr>
        <xdr:cNvPr id="13" name="TextBox 12">
          <a:extLst>
            <a:ext uri="{FF2B5EF4-FFF2-40B4-BE49-F238E27FC236}">
              <a16:creationId xmlns:a16="http://schemas.microsoft.com/office/drawing/2014/main" id="{A28613C7-5203-467E-8E03-C2A488062F86}"/>
            </a:ext>
          </a:extLst>
        </xdr:cNvPr>
        <xdr:cNvSpPr txBox="1"/>
      </xdr:nvSpPr>
      <xdr:spPr>
        <a:xfrm>
          <a:off x="769620" y="3078480"/>
          <a:ext cx="5257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2C3BA9E-06F6-4CD1-AB2A-3E82D376A6E4}" type="TxLink">
            <a:rPr lang="en-US" sz="1100" b="0" i="0" u="none" strike="noStrike">
              <a:solidFill>
                <a:schemeClr val="accent6">
                  <a:lumMod val="60000"/>
                  <a:lumOff val="40000"/>
                </a:schemeClr>
              </a:solidFill>
              <a:latin typeface="+mn-lt"/>
              <a:ea typeface="+mn-ea"/>
              <a:cs typeface="+mn-cs"/>
            </a:rPr>
            <a:pPr marL="0" indent="0" algn="ctr"/>
            <a:t>89,850</a:t>
          </a:fld>
          <a:endParaRPr lang="en-IN" sz="1100" b="0" i="0" u="none" strike="noStrike">
            <a:solidFill>
              <a:schemeClr val="accent6">
                <a:lumMod val="60000"/>
                <a:lumOff val="40000"/>
              </a:schemeClr>
            </a:solidFill>
            <a:latin typeface="+mn-lt"/>
            <a:ea typeface="+mn-ea"/>
            <a:cs typeface="+mn-cs"/>
          </a:endParaRPr>
        </a:p>
      </xdr:txBody>
    </xdr:sp>
    <xdr:clientData/>
  </xdr:twoCellAnchor>
  <xdr:twoCellAnchor>
    <xdr:from>
      <xdr:col>1</xdr:col>
      <xdr:colOff>205740</xdr:colOff>
      <xdr:row>19</xdr:row>
      <xdr:rowOff>22860</xdr:rowOff>
    </xdr:from>
    <xdr:to>
      <xdr:col>3</xdr:col>
      <xdr:colOff>381000</xdr:colOff>
      <xdr:row>23</xdr:row>
      <xdr:rowOff>83820</xdr:rowOff>
    </xdr:to>
    <xdr:sp macro="" textlink="Pivots!D4">
      <xdr:nvSpPr>
        <xdr:cNvPr id="14" name="Rectangle 13">
          <a:extLst>
            <a:ext uri="{FF2B5EF4-FFF2-40B4-BE49-F238E27FC236}">
              <a16:creationId xmlns:a16="http://schemas.microsoft.com/office/drawing/2014/main" id="{A9155BF5-D1EC-48C5-9F3A-5F7C0DD9236B}"/>
            </a:ext>
          </a:extLst>
        </xdr:cNvPr>
        <xdr:cNvSpPr/>
      </xdr:nvSpPr>
      <xdr:spPr>
        <a:xfrm>
          <a:off x="457200" y="3497580"/>
          <a:ext cx="1120140" cy="792480"/>
        </a:xfrm>
        <a:prstGeom prst="rect">
          <a:avLst/>
        </a:prstGeom>
        <a:solidFill>
          <a:schemeClr val="accent6"/>
        </a:solidFill>
        <a:ln>
          <a:solidFill>
            <a:schemeClr val="tx1"/>
          </a:solid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0CBC3E1-73F2-4462-9DAB-176DF7AD7ED3}" type="TxLink">
            <a:rPr lang="en-US" sz="1600" b="0" i="0" u="none" strike="noStrike">
              <a:solidFill>
                <a:schemeClr val="bg1"/>
              </a:solidFill>
              <a:latin typeface="+mj-lt"/>
              <a:ea typeface="+mn-ea"/>
              <a:cs typeface="+mn-cs"/>
            </a:rPr>
            <a:pPr marL="0" indent="0" algn="ctr"/>
            <a:t>3.9</a:t>
          </a:fld>
          <a:endParaRPr lang="en-IN" sz="1600" b="0" i="0" u="none" strike="noStrike">
            <a:solidFill>
              <a:schemeClr val="bg1"/>
            </a:solidFill>
            <a:latin typeface="+mj-lt"/>
            <a:ea typeface="+mn-ea"/>
            <a:cs typeface="+mn-cs"/>
          </a:endParaRPr>
        </a:p>
      </xdr:txBody>
    </xdr:sp>
    <xdr:clientData/>
  </xdr:twoCellAnchor>
  <xdr:twoCellAnchor>
    <xdr:from>
      <xdr:col>2</xdr:col>
      <xdr:colOff>76200</xdr:colOff>
      <xdr:row>19</xdr:row>
      <xdr:rowOff>60960</xdr:rowOff>
    </xdr:from>
    <xdr:to>
      <xdr:col>3</xdr:col>
      <xdr:colOff>335280</xdr:colOff>
      <xdr:row>20</xdr:row>
      <xdr:rowOff>106680</xdr:rowOff>
    </xdr:to>
    <xdr:sp macro="" textlink="">
      <xdr:nvSpPr>
        <xdr:cNvPr id="15" name="TextBox 14">
          <a:extLst>
            <a:ext uri="{FF2B5EF4-FFF2-40B4-BE49-F238E27FC236}">
              <a16:creationId xmlns:a16="http://schemas.microsoft.com/office/drawing/2014/main" id="{87C51C82-637A-4765-9860-8BDD3E3C22A8}"/>
            </a:ext>
          </a:extLst>
        </xdr:cNvPr>
        <xdr:cNvSpPr txBox="1"/>
      </xdr:nvSpPr>
      <xdr:spPr>
        <a:xfrm>
          <a:off x="601980" y="3535680"/>
          <a:ext cx="92964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mj-lt"/>
            </a:rPr>
            <a:t>Avg</a:t>
          </a:r>
          <a:r>
            <a:rPr lang="en-IN" sz="1200" baseline="0">
              <a:solidFill>
                <a:schemeClr val="bg1"/>
              </a:solidFill>
              <a:latin typeface="+mj-lt"/>
            </a:rPr>
            <a:t> rating</a:t>
          </a:r>
          <a:endParaRPr lang="en-IN" sz="1200">
            <a:solidFill>
              <a:schemeClr val="bg1"/>
            </a:solidFill>
            <a:latin typeface="+mj-lt"/>
          </a:endParaRPr>
        </a:p>
      </xdr:txBody>
    </xdr:sp>
    <xdr:clientData/>
  </xdr:twoCellAnchor>
  <xdr:twoCellAnchor editAs="oneCell">
    <xdr:from>
      <xdr:col>1</xdr:col>
      <xdr:colOff>269357</xdr:colOff>
      <xdr:row>22</xdr:row>
      <xdr:rowOff>30480</xdr:rowOff>
    </xdr:from>
    <xdr:to>
      <xdr:col>2</xdr:col>
      <xdr:colOff>172602</xdr:colOff>
      <xdr:row>23</xdr:row>
      <xdr:rowOff>25165</xdr:rowOff>
    </xdr:to>
    <xdr:pic>
      <xdr:nvPicPr>
        <xdr:cNvPr id="16" name="Graphic 15">
          <a:extLst>
            <a:ext uri="{FF2B5EF4-FFF2-40B4-BE49-F238E27FC236}">
              <a16:creationId xmlns:a16="http://schemas.microsoft.com/office/drawing/2014/main" id="{FF7F96D8-627F-445D-86F3-CCA22F6A70F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520817" y="4053840"/>
          <a:ext cx="177565" cy="177565"/>
        </a:xfrm>
        <a:prstGeom prst="rect">
          <a:avLst/>
        </a:prstGeom>
      </xdr:spPr>
    </xdr:pic>
    <xdr:clientData/>
  </xdr:twoCellAnchor>
  <xdr:twoCellAnchor>
    <xdr:from>
      <xdr:col>2</xdr:col>
      <xdr:colOff>236220</xdr:colOff>
      <xdr:row>22</xdr:row>
      <xdr:rowOff>15240</xdr:rowOff>
    </xdr:from>
    <xdr:to>
      <xdr:col>3</xdr:col>
      <xdr:colOff>91440</xdr:colOff>
      <xdr:row>23</xdr:row>
      <xdr:rowOff>45720</xdr:rowOff>
    </xdr:to>
    <xdr:sp macro="" textlink="Pivots!D10">
      <xdr:nvSpPr>
        <xdr:cNvPr id="17" name="TextBox 16">
          <a:extLst>
            <a:ext uri="{FF2B5EF4-FFF2-40B4-BE49-F238E27FC236}">
              <a16:creationId xmlns:a16="http://schemas.microsoft.com/office/drawing/2014/main" id="{D208CF24-1E11-441B-8F9B-5A1B2375D9A6}"/>
            </a:ext>
          </a:extLst>
        </xdr:cNvPr>
        <xdr:cNvSpPr txBox="1"/>
      </xdr:nvSpPr>
      <xdr:spPr>
        <a:xfrm>
          <a:off x="762000" y="4038600"/>
          <a:ext cx="5257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BEA343-7060-453C-B21E-471277292647}" type="TxLink">
            <a:rPr lang="en-US" sz="1100" b="0" i="0" u="none" strike="noStrike">
              <a:solidFill>
                <a:schemeClr val="accent6">
                  <a:lumMod val="60000"/>
                  <a:lumOff val="40000"/>
                </a:schemeClr>
              </a:solidFill>
              <a:latin typeface="+mn-lt"/>
              <a:ea typeface="+mn-ea"/>
              <a:cs typeface="+mn-cs"/>
            </a:rPr>
            <a:pPr marL="0" indent="0" algn="ctr"/>
            <a:t>3.9</a:t>
          </a:fld>
          <a:endParaRPr lang="en-IN" sz="1100" b="0" i="0" u="none" strike="noStrike">
            <a:solidFill>
              <a:schemeClr val="accent6">
                <a:lumMod val="60000"/>
                <a:lumOff val="40000"/>
              </a:schemeClr>
            </a:solidFill>
            <a:latin typeface="+mn-lt"/>
            <a:ea typeface="+mn-ea"/>
            <a:cs typeface="+mn-cs"/>
          </a:endParaRPr>
        </a:p>
      </xdr:txBody>
    </xdr:sp>
    <xdr:clientData/>
  </xdr:twoCellAnchor>
  <xdr:twoCellAnchor>
    <xdr:from>
      <xdr:col>1</xdr:col>
      <xdr:colOff>228600</xdr:colOff>
      <xdr:row>24</xdr:row>
      <xdr:rowOff>152400</xdr:rowOff>
    </xdr:from>
    <xdr:to>
      <xdr:col>3</xdr:col>
      <xdr:colOff>403860</xdr:colOff>
      <xdr:row>29</xdr:row>
      <xdr:rowOff>30480</xdr:rowOff>
    </xdr:to>
    <xdr:sp macro="" textlink="Pivots!E4">
      <xdr:nvSpPr>
        <xdr:cNvPr id="18" name="Rectangle 17">
          <a:extLst>
            <a:ext uri="{FF2B5EF4-FFF2-40B4-BE49-F238E27FC236}">
              <a16:creationId xmlns:a16="http://schemas.microsoft.com/office/drawing/2014/main" id="{F0B10C99-D5B0-4EDB-AA53-DAEC95BC6CC8}"/>
            </a:ext>
          </a:extLst>
        </xdr:cNvPr>
        <xdr:cNvSpPr/>
      </xdr:nvSpPr>
      <xdr:spPr>
        <a:xfrm>
          <a:off x="480060" y="4541520"/>
          <a:ext cx="1120140" cy="792480"/>
        </a:xfrm>
        <a:prstGeom prst="rect">
          <a:avLst/>
        </a:prstGeom>
        <a:solidFill>
          <a:schemeClr val="accent6"/>
        </a:solidFill>
        <a:ln>
          <a:solidFill>
            <a:schemeClr val="tx1"/>
          </a:solid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4A565C2-580C-48E0-BF9D-AEBE5D35D382}" type="TxLink">
            <a:rPr lang="en-US" sz="1600" b="0" i="0" u="none" strike="noStrike">
              <a:solidFill>
                <a:schemeClr val="bg1"/>
              </a:solidFill>
              <a:latin typeface="+mj-lt"/>
              <a:ea typeface="+mn-ea"/>
              <a:cs typeface="+mn-cs"/>
            </a:rPr>
            <a:pPr marL="0" indent="0" algn="ctr"/>
            <a:t>29</a:t>
          </a:fld>
          <a:endParaRPr lang="en-IN" sz="1600" b="0" i="0" u="none" strike="noStrike">
            <a:solidFill>
              <a:schemeClr val="bg1"/>
            </a:solidFill>
            <a:latin typeface="+mj-lt"/>
            <a:ea typeface="+mn-ea"/>
            <a:cs typeface="+mn-cs"/>
          </a:endParaRPr>
        </a:p>
      </xdr:txBody>
    </xdr:sp>
    <xdr:clientData/>
  </xdr:twoCellAnchor>
  <xdr:twoCellAnchor>
    <xdr:from>
      <xdr:col>1</xdr:col>
      <xdr:colOff>106680</xdr:colOff>
      <xdr:row>24</xdr:row>
      <xdr:rowOff>83820</xdr:rowOff>
    </xdr:from>
    <xdr:to>
      <xdr:col>3</xdr:col>
      <xdr:colOff>525780</xdr:colOff>
      <xdr:row>26</xdr:row>
      <xdr:rowOff>106680</xdr:rowOff>
    </xdr:to>
    <xdr:sp macro="" textlink="">
      <xdr:nvSpPr>
        <xdr:cNvPr id="19" name="TextBox 18">
          <a:extLst>
            <a:ext uri="{FF2B5EF4-FFF2-40B4-BE49-F238E27FC236}">
              <a16:creationId xmlns:a16="http://schemas.microsoft.com/office/drawing/2014/main" id="{F5DE559C-8C3D-476B-9CDD-8BA40FADC09F}"/>
            </a:ext>
          </a:extLst>
        </xdr:cNvPr>
        <xdr:cNvSpPr txBox="1"/>
      </xdr:nvSpPr>
      <xdr:spPr>
        <a:xfrm>
          <a:off x="358140" y="4472940"/>
          <a:ext cx="136398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mj-lt"/>
            </a:rPr>
            <a:t>Happy Callers</a:t>
          </a:r>
        </a:p>
      </xdr:txBody>
    </xdr:sp>
    <xdr:clientData/>
  </xdr:twoCellAnchor>
  <xdr:twoCellAnchor editAs="oneCell">
    <xdr:from>
      <xdr:col>1</xdr:col>
      <xdr:colOff>246830</xdr:colOff>
      <xdr:row>27</xdr:row>
      <xdr:rowOff>106681</xdr:rowOff>
    </xdr:from>
    <xdr:to>
      <xdr:col>2</xdr:col>
      <xdr:colOff>172270</xdr:colOff>
      <xdr:row>28</xdr:row>
      <xdr:rowOff>123561</xdr:rowOff>
    </xdr:to>
    <xdr:pic>
      <xdr:nvPicPr>
        <xdr:cNvPr id="20" name="Graphic 19">
          <a:extLst>
            <a:ext uri="{FF2B5EF4-FFF2-40B4-BE49-F238E27FC236}">
              <a16:creationId xmlns:a16="http://schemas.microsoft.com/office/drawing/2014/main" id="{B1BECA9B-A57E-4597-87BD-C5164EF244A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498290" y="5044441"/>
          <a:ext cx="199760" cy="199760"/>
        </a:xfrm>
        <a:prstGeom prst="rect">
          <a:avLst/>
        </a:prstGeom>
      </xdr:spPr>
    </xdr:pic>
    <xdr:clientData/>
  </xdr:twoCellAnchor>
  <xdr:twoCellAnchor>
    <xdr:from>
      <xdr:col>2</xdr:col>
      <xdr:colOff>365760</xdr:colOff>
      <xdr:row>27</xdr:row>
      <xdr:rowOff>121920</xdr:rowOff>
    </xdr:from>
    <xdr:to>
      <xdr:col>2</xdr:col>
      <xdr:colOff>655320</xdr:colOff>
      <xdr:row>28</xdr:row>
      <xdr:rowOff>137160</xdr:rowOff>
    </xdr:to>
    <xdr:sp macro="" textlink="Pivots!E10">
      <xdr:nvSpPr>
        <xdr:cNvPr id="21" name="TextBox 20">
          <a:extLst>
            <a:ext uri="{FF2B5EF4-FFF2-40B4-BE49-F238E27FC236}">
              <a16:creationId xmlns:a16="http://schemas.microsoft.com/office/drawing/2014/main" id="{43B14C8B-A80B-44B4-83A8-0812A5F4C3E6}"/>
            </a:ext>
          </a:extLst>
        </xdr:cNvPr>
        <xdr:cNvSpPr txBox="1"/>
      </xdr:nvSpPr>
      <xdr:spPr>
        <a:xfrm>
          <a:off x="891540" y="5059680"/>
          <a:ext cx="28956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ADCE6D1-62C7-43FA-BFF5-5ED81DD73885}" type="TxLink">
            <a:rPr lang="en-US" sz="1100" b="0" i="0" u="none" strike="noStrike">
              <a:solidFill>
                <a:schemeClr val="accent6">
                  <a:lumMod val="60000"/>
                  <a:lumOff val="40000"/>
                </a:schemeClr>
              </a:solidFill>
              <a:latin typeface="+mn-lt"/>
              <a:ea typeface="+mn-ea"/>
              <a:cs typeface="+mn-cs"/>
            </a:rPr>
            <a:pPr marL="0" indent="0" algn="ctr"/>
            <a:t>29</a:t>
          </a:fld>
          <a:endParaRPr lang="en-IN" sz="1100" b="0" i="0" u="none" strike="noStrike">
            <a:solidFill>
              <a:schemeClr val="accent6">
                <a:lumMod val="60000"/>
                <a:lumOff val="40000"/>
              </a:schemeClr>
            </a:solidFill>
            <a:latin typeface="+mn-lt"/>
            <a:ea typeface="+mn-ea"/>
            <a:cs typeface="+mn-cs"/>
          </a:endParaRPr>
        </a:p>
      </xdr:txBody>
    </xdr:sp>
    <xdr:clientData/>
  </xdr:twoCellAnchor>
  <xdr:twoCellAnchor editAs="oneCell">
    <xdr:from>
      <xdr:col>11</xdr:col>
      <xdr:colOff>418277</xdr:colOff>
      <xdr:row>15</xdr:row>
      <xdr:rowOff>175846</xdr:rowOff>
    </xdr:from>
    <xdr:to>
      <xdr:col>14</xdr:col>
      <xdr:colOff>270047</xdr:colOff>
      <xdr:row>35</xdr:row>
      <xdr:rowOff>10246</xdr:rowOff>
    </xdr:to>
    <mc:AlternateContent xmlns:mc="http://schemas.openxmlformats.org/markup-compatibility/2006" xmlns:a14="http://schemas.microsoft.com/office/drawing/2010/main">
      <mc:Choice Requires="a14">
        <xdr:graphicFrame macro="">
          <xdr:nvGraphicFramePr>
            <xdr:cNvPr id="23" name="Representative 1">
              <a:extLst>
                <a:ext uri="{FF2B5EF4-FFF2-40B4-BE49-F238E27FC236}">
                  <a16:creationId xmlns:a16="http://schemas.microsoft.com/office/drawing/2014/main" id="{E54D7484-E45C-4153-B779-62F0CC92E70D}"/>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6857177" y="2919046"/>
              <a:ext cx="1863450" cy="34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471616</xdr:colOff>
      <xdr:row>4</xdr:row>
      <xdr:rowOff>1510</xdr:rowOff>
    </xdr:from>
    <xdr:to>
      <xdr:col>10</xdr:col>
      <xdr:colOff>655320</xdr:colOff>
      <xdr:row>14</xdr:row>
      <xdr:rowOff>114300</xdr:rowOff>
    </xdr:to>
    <xdr:graphicFrame macro="">
      <xdr:nvGraphicFramePr>
        <xdr:cNvPr id="24" name="Chart 23">
          <a:extLst>
            <a:ext uri="{FF2B5EF4-FFF2-40B4-BE49-F238E27FC236}">
              <a16:creationId xmlns:a16="http://schemas.microsoft.com/office/drawing/2014/main" id="{D5297B1B-802C-4954-B807-C90771AAC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86154</xdr:colOff>
      <xdr:row>3</xdr:row>
      <xdr:rowOff>166885</xdr:rowOff>
    </xdr:from>
    <xdr:to>
      <xdr:col>14</xdr:col>
      <xdr:colOff>281940</xdr:colOff>
      <xdr:row>14</xdr:row>
      <xdr:rowOff>99060</xdr:rowOff>
    </xdr:to>
    <xdr:graphicFrame macro="">
      <xdr:nvGraphicFramePr>
        <xdr:cNvPr id="25" name="Chart 24">
          <a:extLst>
            <a:ext uri="{FF2B5EF4-FFF2-40B4-BE49-F238E27FC236}">
              <a16:creationId xmlns:a16="http://schemas.microsoft.com/office/drawing/2014/main" id="{154A0F83-DA53-4122-B156-7753399DC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494271</xdr:colOff>
      <xdr:row>15</xdr:row>
      <xdr:rowOff>171622</xdr:rowOff>
    </xdr:from>
    <xdr:to>
      <xdr:col>11</xdr:col>
      <xdr:colOff>228600</xdr:colOff>
      <xdr:row>34</xdr:row>
      <xdr:rowOff>129540</xdr:rowOff>
    </xdr:to>
    <xdr:sp macro="" textlink="">
      <xdr:nvSpPr>
        <xdr:cNvPr id="27" name="Rectangle 26">
          <a:extLst>
            <a:ext uri="{FF2B5EF4-FFF2-40B4-BE49-F238E27FC236}">
              <a16:creationId xmlns:a16="http://schemas.microsoft.com/office/drawing/2014/main" id="{7CD84627-5081-AF63-2DC5-C473F731E995}"/>
            </a:ext>
          </a:extLst>
        </xdr:cNvPr>
        <xdr:cNvSpPr/>
      </xdr:nvSpPr>
      <xdr:spPr>
        <a:xfrm>
          <a:off x="1690611" y="2914822"/>
          <a:ext cx="4976889" cy="343263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5"/>
              </a:solidFill>
            </a:rPr>
            <a:t>Calls</a:t>
          </a:r>
          <a:r>
            <a:rPr lang="en-IN" sz="2000" b="1" baseline="0">
              <a:solidFill>
                <a:schemeClr val="accent5"/>
              </a:solidFill>
            </a:rPr>
            <a:t> and Amount Data</a:t>
          </a:r>
          <a:endParaRPr lang="en-IN" sz="2000" b="1">
            <a:solidFill>
              <a:schemeClr val="accent5"/>
            </a:solidFill>
          </a:endParaRPr>
        </a:p>
      </xdr:txBody>
    </xdr:sp>
    <xdr:clientData/>
  </xdr:twoCellAnchor>
  <xdr:twoCellAnchor>
    <xdr:from>
      <xdr:col>7</xdr:col>
      <xdr:colOff>533196</xdr:colOff>
      <xdr:row>18</xdr:row>
      <xdr:rowOff>162696</xdr:rowOff>
    </xdr:from>
    <xdr:to>
      <xdr:col>11</xdr:col>
      <xdr:colOff>100708</xdr:colOff>
      <xdr:row>31</xdr:row>
      <xdr:rowOff>82790</xdr:rowOff>
    </xdr:to>
    <xdr:graphicFrame macro="">
      <xdr:nvGraphicFramePr>
        <xdr:cNvPr id="22" name="Chart 21">
          <a:extLst>
            <a:ext uri="{FF2B5EF4-FFF2-40B4-BE49-F238E27FC236}">
              <a16:creationId xmlns:a16="http://schemas.microsoft.com/office/drawing/2014/main" id="{F479A1D1-82AA-4099-BFB8-EBB97B39CF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174300</xdr:colOff>
      <xdr:row>18</xdr:row>
      <xdr:rowOff>108740</xdr:rowOff>
    </xdr:from>
    <xdr:to>
      <xdr:col>8</xdr:col>
      <xdr:colOff>43865</xdr:colOff>
      <xdr:row>31</xdr:row>
      <xdr:rowOff>64119</xdr:rowOff>
    </xdr:to>
    <xdr:graphicFrame macro="">
      <xdr:nvGraphicFramePr>
        <xdr:cNvPr id="26" name="Chart 25">
          <a:extLst>
            <a:ext uri="{FF2B5EF4-FFF2-40B4-BE49-F238E27FC236}">
              <a16:creationId xmlns:a16="http://schemas.microsoft.com/office/drawing/2014/main" id="{4A5766A7-A87D-4BFA-8836-CAE6C8CD6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315784</xdr:colOff>
      <xdr:row>3</xdr:row>
      <xdr:rowOff>164619</xdr:rowOff>
    </xdr:from>
    <xdr:to>
      <xdr:col>17</xdr:col>
      <xdr:colOff>335279</xdr:colOff>
      <xdr:row>14</xdr:row>
      <xdr:rowOff>114300</xdr:rowOff>
    </xdr:to>
    <xdr:graphicFrame macro="">
      <xdr:nvGraphicFramePr>
        <xdr:cNvPr id="28" name="Chart 27">
          <a:extLst>
            <a:ext uri="{FF2B5EF4-FFF2-40B4-BE49-F238E27FC236}">
              <a16:creationId xmlns:a16="http://schemas.microsoft.com/office/drawing/2014/main" id="{59579013-77A4-41B7-A6AE-C4BFDB836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419100</xdr:colOff>
      <xdr:row>3</xdr:row>
      <xdr:rowOff>160020</xdr:rowOff>
    </xdr:from>
    <xdr:to>
      <xdr:col>21</xdr:col>
      <xdr:colOff>640080</xdr:colOff>
      <xdr:row>14</xdr:row>
      <xdr:rowOff>114300</xdr:rowOff>
    </xdr:to>
    <xdr:graphicFrame macro="">
      <xdr:nvGraphicFramePr>
        <xdr:cNvPr id="29" name="Chart 28">
          <a:extLst>
            <a:ext uri="{FF2B5EF4-FFF2-40B4-BE49-F238E27FC236}">
              <a16:creationId xmlns:a16="http://schemas.microsoft.com/office/drawing/2014/main" id="{C58607BB-ADB5-4E49-9E58-355178551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457200</xdr:colOff>
      <xdr:row>0</xdr:row>
      <xdr:rowOff>137160</xdr:rowOff>
    </xdr:from>
    <xdr:to>
      <xdr:col>21</xdr:col>
      <xdr:colOff>594360</xdr:colOff>
      <xdr:row>3</xdr:row>
      <xdr:rowOff>45720</xdr:rowOff>
    </xdr:to>
    <xdr:sp macro="" textlink="">
      <xdr:nvSpPr>
        <xdr:cNvPr id="30" name="Rectangle: Rounded Corners 29">
          <a:extLst>
            <a:ext uri="{FF2B5EF4-FFF2-40B4-BE49-F238E27FC236}">
              <a16:creationId xmlns:a16="http://schemas.microsoft.com/office/drawing/2014/main" id="{9712B3FA-F5EE-1474-2F67-64A8F282B6DC}"/>
            </a:ext>
          </a:extLst>
        </xdr:cNvPr>
        <xdr:cNvSpPr/>
      </xdr:nvSpPr>
      <xdr:spPr>
        <a:xfrm>
          <a:off x="1653540" y="137160"/>
          <a:ext cx="11864340" cy="4572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solidFill>
                <a:schemeClr val="accent5"/>
              </a:solidFill>
            </a:rPr>
            <a:t>Call Center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 Saiteja" refreshedDate="45735.03060150463" backgroundQuery="1" createdVersion="8" refreshedVersion="8" minRefreshableVersion="3" recordCount="0" supportSubquery="1" supportAdvancedDrill="1" xr:uid="{807E0195-F285-4F1F-B58D-408C5B378EA8}">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 Saiteja" refreshedDate="45741.490864004627" backgroundQuery="1" createdVersion="8" refreshedVersion="8" minRefreshableVersion="3" recordCount="0" supportSubquery="1" supportAdvancedDrill="1" xr:uid="{E2F65949-F30D-4F09-BCCF-2E53BACA4E4D}">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 Saiteja" refreshedDate="45741.527914814818" backgroundQuery="1" createdVersion="8" refreshedVersion="8" minRefreshableVersion="3" recordCount="0" supportSubquery="1" supportAdvancedDrill="1" xr:uid="{4A3FCC17-9635-4609-9294-250E4D2BA9EC}">
  <cacheSource type="external" connectionId="1"/>
  <cacheFields count="3">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 Saiteja" refreshedDate="45742.459556597219" backgroundQuery="1" createdVersion="8" refreshedVersion="8" minRefreshableVersion="3" recordCount="0" supportSubquery="1" supportAdvancedDrill="1" xr:uid="{51AC0E8C-DA91-469D-B0CE-7273B641C119}">
  <cacheSource type="external" connectionId="1"/>
  <cacheFields count="4">
    <cacheField name="[calls].[Representative].[Representative]" caption="Representative" numFmtId="0" hierarchy="3" level="1">
      <sharedItems count="5">
        <s v="R01"/>
        <s v="R02"/>
        <s v="R03"/>
        <s v="R04"/>
        <s v="R05"/>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ustomers].[City].[City]" caption="City" numFmtId="0" hierarchy="15" level="1">
      <sharedItems count="3">
        <s v="Cincinnati"/>
        <s v="Cleveland"/>
        <s v="Columbus"/>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 Saiteja" refreshedDate="46054.511204629627" backgroundQuery="1" createdVersion="8" refreshedVersion="8" minRefreshableVersion="3" recordCount="0" supportSubquery="1" supportAdvancedDrill="1" xr:uid="{301F9610-DC4D-41FB-AE74-6ABAEA8092EF}">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 Saiteja" refreshedDate="46054.511205787036" backgroundQuery="1" createdVersion="8" refreshedVersion="8" minRefreshableVersion="3" recordCount="0" supportSubquery="1" supportAdvancedDrill="1" xr:uid="{4F58089A-DC83-4887-BE78-E53F5D9D75DB}">
  <cacheSource type="external" connectionId="1"/>
  <cacheFields count="5">
    <cacheField name="[calls].[Date of Call].[Date of Call]" caption="Date of Call" numFmtId="0" hierarchy="4" level="1">
      <sharedItems containsSemiMixedTypes="0" containsNonDate="0" containsDate="1" containsString="0" minDate="2023-12-09T00:00:00" maxDate="2024-01-01T00:00:00" count="6">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 Saiteja" refreshedDate="46054.511206365743" backgroundQuery="1" createdVersion="8" refreshedVersion="8" minRefreshableVersion="3" recordCount="0" supportSubquery="1" supportAdvancedDrill="1" xr:uid="{2B3A3C59-F53A-4A7D-A689-D36E2AD12991}">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 Saiteja" refreshedDate="46054.511206944444" backgroundQuery="1" createdVersion="8" refreshedVersion="8" minRefreshableVersion="3" recordCount="0" supportSubquery="1" supportAdvancedDrill="1" xr:uid="{5640D62D-86D1-4AA0-8F76-52C7B1674369}">
  <cacheSource type="external" connectionId="1"/>
  <cacheFields count="1">
    <cacheField name="[calls].[Representative].[Representative]" caption="Representative" numFmtId="0" hierarchy="3" level="1">
      <sharedItems count="5">
        <s v="R01"/>
        <s v="R02"/>
        <s v="R03"/>
        <s v="R04"/>
        <s v="R05"/>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 Saiteja" refreshedDate="46054.511207754629" backgroundQuery="1" createdVersion="8" refreshedVersion="8" minRefreshableVersion="3" recordCount="0" supportSubquery="1" supportAdvancedDrill="1" xr:uid="{D16BB4A2-8069-450F-A3B6-F9D7D1547A64}">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 Saiteja" refreshedDate="45735.030603009262" backgroundQuery="1" createdVersion="3" refreshedVersion="8" minRefreshableVersion="3" recordCount="0" supportSubquery="1" supportAdvancedDrill="1" xr:uid="{50E4B398-B65E-43E0-9605-B3E91A054658}">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Date of Call (Month)]" caption="Count of Date of Call (Month)" measure="1" displayFolder="" measureGroup="calls" count="0">
      <extLst>
        <ext xmlns:x15="http://schemas.microsoft.com/office/spreadsheetml/2010/11/main" uri="{B97F6D7D-B522-45F9-BDA1-12C45D357490}">
          <x15:cacheHierarchy aggregatedColumn="11"/>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438728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ADCF2A-A6C2-4AD7-A047-421C47A41F9A}"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1:H2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3E8722-C16B-4A2A-98CC-123CF02C068F}" name="Weekday Trend" cacheId="3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A33:B41" firstHeaderRow="1" firstDataRow="1" firstDataCol="1"/>
  <pivotFields count="3">
    <pivotField axis="axisRow" allDrilled="1" subtotalTop="0" showAll="0"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23"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1_Chandoo 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1E2757-A24E-4066-B47A-61135674FF70}" name="Rep Pivot" cacheId="3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1_Chandoo 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CD70FE-DA94-4688-B62A-1DBEDC1C25BB}" name="rep Amounts"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0">
  <location ref="A63:G82"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2"/>
    <field x="1"/>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7B6360-7FF3-425E-833D-4C7A1F7909F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5:D50"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fld="2" subtotal="count" baseField="0" baseItem="0"/>
  </dataFields>
  <chartFormats count="8">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7" format="2" series="1">
      <pivotArea type="data" outline="0" fieldPosition="0">
        <references count="2">
          <reference field="4294967294" count="1" selected="0">
            <x v="0"/>
          </reference>
          <reference field="0" count="1" selected="0">
            <x v="0"/>
          </reference>
        </references>
      </pivotArea>
    </chartFormat>
    <chartFormat chart="7" format="3" series="1">
      <pivotArea type="data" outline="0" fieldPosition="0">
        <references count="2">
          <reference field="4294967294" count="1" selected="0">
            <x v="0"/>
          </reference>
          <reference field="0" count="1" selected="0">
            <x v="1"/>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DE9CD9-CE1C-47BF-AC99-FC1FA5203F05}" name="Summary Pivot"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1_Chandoo 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BDC045-6E03-4737-99B0-6D242E166C49}" name="Rep Satisfaction" cacheId="3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A53:B6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2">
    <chartFormat chart="1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1EC2E8-F6AD-4133-A2F0-C0BEAEC348A6}" name="Monthly Trend" cacheId="34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5">
  <location ref="A17:C30" firstHeaderRow="0" firstDataRow="1" firstDataCol="1"/>
  <pivotFields count="5">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1_Chandoo 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E2F269-F7C3-4EDE-9847-ADE1A546723E}" name="Selected Rep Pivogt" cacheId="35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33:F38"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5">
    <i>
      <x/>
    </i>
    <i>
      <x v="1"/>
    </i>
    <i>
      <x v="2"/>
    </i>
    <i>
      <x v="3"/>
    </i>
    <i>
      <x v="4"/>
    </i>
  </rowItems>
  <formats count="1">
    <format dxfId="26">
      <pivotArea dataOnly="0" labelOnly="1"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1A0B21FB-0BB2-42D9-9DBE-0CB82C8486CA}" sourceName="[calls].[Representative]">
  <pivotTables>
    <pivotTable tabId="6" name="Rep Pivot"/>
    <pivotTable tabId="6" name="Monthly Trend"/>
    <pivotTable tabId="6" name="Weekday Trend"/>
    <pivotTable tabId="6" name="Selected Rep Pivogt"/>
    <pivotTable tabId="6" name="Rep Satisfaction"/>
  </pivotTables>
  <data>
    <olap pivotCacheId="1943872894">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91B5BCF4-533F-4950-8259-3FBE8B38D5D1}" cache="Slicer_Representative" caption="Representativ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83935180-DFD0-4250-97E3-DC0B83DF8876}" cache="Slicer_Representative" caption="Representative" level="1" style="SlicerStyleLight5 2"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5"/>
    <tableColumn id="5" xr3:uid="{5A35565E-8707-4DED-AD15-A0669D67B382}" name="Date of Call" dataDxfId="24"/>
    <tableColumn id="6" xr3:uid="{F2E4F158-B41F-47BC-8DF8-DFCADFEE4E40}" name="Purchase Amount"/>
    <tableColumn id="7" xr3:uid="{04B291B5-47BD-4F78-8FD8-D1551CCA6BD9}" name="Satisfaction Rating"/>
    <tableColumn id="8" xr3:uid="{6E4123C0-0B17-43B8-A142-A1E540CE974C}" name="FY" dataDxfId="23">
      <calculatedColumnFormula>IF(MONTH(calls[[#This Row],[Date of Call]])&lt;=6, YEAR(calls[[#This Row],[Date of Call]]), YEAR(calls[[#This Row],[Date of Call]])+1)</calculatedColumnFormula>
    </tableColumn>
    <tableColumn id="9" xr3:uid="{199FA271-5E9B-46CE-9BC6-2801F92CD17E}" name="Day of week" dataDxfId="22">
      <calculatedColumnFormula>TEXT(calls[[#This Row],[Date of Call]],"DDDD")</calculatedColumnFormula>
    </tableColumn>
    <tableColumn id="10" xr3:uid="{328CDB09-95B8-4D5E-9ED9-EF0D363735A1}" name="Duration Bucket" dataDxfId="2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0">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9" headerRowBorderDxfId="18" tableBorderDxfId="17" totalsRowBorderDxfId="16">
  <autoFilter ref="Q3:T18" xr:uid="{27158F51-A707-4171-8A04-81FB0AABCBA5}"/>
  <tableColumns count="4">
    <tableColumn id="1" xr3:uid="{02688061-6A8C-4E23-B7FF-D00CD8B58CAC}" name="Customer ID" dataDxfId="15"/>
    <tableColumn id="2" xr3:uid="{771678B6-DB44-426B-9874-B4E421A440D5}" name="Gedner" dataDxfId="14"/>
    <tableColumn id="3" xr3:uid="{B0D41C62-587E-494D-B49A-603F2C05F8D3}" name="Age" dataDxfId="13"/>
    <tableColumn id="4" xr3:uid="{663F92D6-FE31-4D81-9E01-8D066DDC8A88}" name="City" dataDxfId="1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2">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85A7D-19B6-47FD-8559-0DFC718DBA81}">
  <dimension ref="A3:N82"/>
  <sheetViews>
    <sheetView zoomScale="163" workbookViewId="0">
      <selection activeCell="A4" sqref="A4"/>
    </sheetView>
  </sheetViews>
  <sheetFormatPr defaultRowHeight="14.4" x14ac:dyDescent="0.3"/>
  <cols>
    <col min="1" max="1" width="12.19921875" bestFit="1" customWidth="1"/>
    <col min="2" max="2" width="9.59765625" bestFit="1" customWidth="1"/>
    <col min="3" max="3" width="10.59765625" bestFit="1" customWidth="1"/>
    <col min="4" max="4" width="8.8984375" bestFit="1" customWidth="1"/>
    <col min="5" max="5" width="7.296875" bestFit="1" customWidth="1"/>
    <col min="6" max="6" width="12.19921875" bestFit="1" customWidth="1"/>
    <col min="7" max="7" width="10.5" bestFit="1" customWidth="1"/>
    <col min="8" max="8" width="11.59765625" bestFit="1" customWidth="1"/>
    <col min="9" max="11" width="10.09765625" bestFit="1" customWidth="1"/>
    <col min="12" max="12" width="7.19921875" bestFit="1" customWidth="1"/>
    <col min="13" max="13" width="11.3984375" bestFit="1" customWidth="1"/>
    <col min="14" max="331" width="10.09765625" bestFit="1" customWidth="1"/>
    <col min="332" max="332" width="10.3984375" bestFit="1" customWidth="1"/>
  </cols>
  <sheetData>
    <row r="3" spans="1:5" x14ac:dyDescent="0.3">
      <c r="A3" t="s">
        <v>1039</v>
      </c>
      <c r="B3" t="s">
        <v>1040</v>
      </c>
      <c r="C3" t="s">
        <v>1041</v>
      </c>
      <c r="D3" t="s">
        <v>1042</v>
      </c>
      <c r="E3" t="s">
        <v>1043</v>
      </c>
    </row>
    <row r="4" spans="1:5" x14ac:dyDescent="0.3">
      <c r="A4" s="19">
        <v>1000</v>
      </c>
      <c r="B4" s="20">
        <v>96623</v>
      </c>
      <c r="C4" s="19">
        <v>89850</v>
      </c>
      <c r="D4" s="21">
        <v>3.8854000000000033</v>
      </c>
      <c r="E4" s="22">
        <v>29</v>
      </c>
    </row>
    <row r="9" spans="1:5" x14ac:dyDescent="0.3">
      <c r="A9" t="s">
        <v>1039</v>
      </c>
      <c r="B9" t="s">
        <v>1040</v>
      </c>
      <c r="C9" t="s">
        <v>1041</v>
      </c>
      <c r="D9" t="s">
        <v>1042</v>
      </c>
      <c r="E9" t="s">
        <v>1043</v>
      </c>
    </row>
    <row r="10" spans="1:5" x14ac:dyDescent="0.3">
      <c r="A10" s="19">
        <v>1000</v>
      </c>
      <c r="B10" s="40">
        <v>96623</v>
      </c>
      <c r="C10" s="19">
        <v>89850</v>
      </c>
      <c r="D10" s="21">
        <v>3.8854000000000033</v>
      </c>
      <c r="E10" s="22">
        <v>29</v>
      </c>
    </row>
    <row r="17" spans="1:14" x14ac:dyDescent="0.3">
      <c r="A17" s="23" t="s">
        <v>1057</v>
      </c>
      <c r="B17" t="s">
        <v>1039</v>
      </c>
      <c r="C17" t="s">
        <v>1058</v>
      </c>
    </row>
    <row r="18" spans="1:14" x14ac:dyDescent="0.3">
      <c r="A18" s="24" t="s">
        <v>1045</v>
      </c>
      <c r="B18" s="19">
        <v>79</v>
      </c>
      <c r="C18" s="19">
        <v>79</v>
      </c>
    </row>
    <row r="19" spans="1:14" x14ac:dyDescent="0.3">
      <c r="A19" s="24" t="s">
        <v>1046</v>
      </c>
      <c r="B19" s="19">
        <v>66</v>
      </c>
      <c r="C19" s="19">
        <v>66</v>
      </c>
      <c r="M19" t="s">
        <v>1072</v>
      </c>
      <c r="N19" t="str">
        <f>F34</f>
        <v>R01</v>
      </c>
    </row>
    <row r="20" spans="1:14" x14ac:dyDescent="0.3">
      <c r="A20" s="24" t="s">
        <v>1047</v>
      </c>
      <c r="B20" s="19">
        <v>155</v>
      </c>
      <c r="C20" s="19">
        <v>155</v>
      </c>
      <c r="J20" t="s">
        <v>1066</v>
      </c>
    </row>
    <row r="21" spans="1:14" x14ac:dyDescent="0.3">
      <c r="A21" s="24" t="s">
        <v>1048</v>
      </c>
      <c r="B21" s="19">
        <v>136</v>
      </c>
      <c r="C21" s="19">
        <v>136</v>
      </c>
      <c r="F21" s="23" t="s">
        <v>1057</v>
      </c>
      <c r="G21" t="s">
        <v>1039</v>
      </c>
      <c r="H21" t="s">
        <v>1040</v>
      </c>
      <c r="J21" t="s">
        <v>1067</v>
      </c>
      <c r="K21" t="s">
        <v>1068</v>
      </c>
      <c r="L21" t="s">
        <v>1069</v>
      </c>
      <c r="M21" t="s">
        <v>1071</v>
      </c>
      <c r="N21" t="s">
        <v>1070</v>
      </c>
    </row>
    <row r="22" spans="1:14" x14ac:dyDescent="0.3">
      <c r="A22" s="24" t="s">
        <v>1049</v>
      </c>
      <c r="B22" s="19">
        <v>83</v>
      </c>
      <c r="C22" s="19">
        <v>83</v>
      </c>
      <c r="F22" s="24" t="s">
        <v>11</v>
      </c>
      <c r="G22" s="19">
        <v>189</v>
      </c>
      <c r="H22" s="20">
        <v>18415</v>
      </c>
      <c r="J22" t="str" cm="1">
        <f t="array" ref="J22:L26">F22:H26</f>
        <v>R01</v>
      </c>
      <c r="K22">
        <v>189</v>
      </c>
      <c r="L22" s="25">
        <v>18415</v>
      </c>
      <c r="M22">
        <f>IF(J22=$N$19,K22,NA())</f>
        <v>189</v>
      </c>
      <c r="N22">
        <f>IF(J22=$N$19,L22,NA())</f>
        <v>18415</v>
      </c>
    </row>
    <row r="23" spans="1:14" x14ac:dyDescent="0.3">
      <c r="A23" s="24" t="s">
        <v>1050</v>
      </c>
      <c r="B23" s="19">
        <v>67</v>
      </c>
      <c r="C23" s="19">
        <v>67</v>
      </c>
      <c r="F23" s="24" t="s">
        <v>9</v>
      </c>
      <c r="G23" s="19">
        <v>218</v>
      </c>
      <c r="H23" s="20">
        <v>20581</v>
      </c>
      <c r="J23" t="str">
        <v>R02</v>
      </c>
      <c r="K23">
        <v>218</v>
      </c>
      <c r="L23" s="25">
        <v>20581</v>
      </c>
      <c r="M23" t="e">
        <f t="shared" ref="M23:M26" si="0">IF(J23=$N$19,K23,NA())</f>
        <v>#N/A</v>
      </c>
      <c r="N23" t="e">
        <f t="shared" ref="N23:N26" si="1">IF(J23=$N$19,L23,NA())</f>
        <v>#N/A</v>
      </c>
    </row>
    <row r="24" spans="1:14" x14ac:dyDescent="0.3">
      <c r="A24" s="24" t="s">
        <v>1051</v>
      </c>
      <c r="B24" s="19">
        <v>64</v>
      </c>
      <c r="C24" s="19">
        <v>64</v>
      </c>
      <c r="F24" s="24" t="s">
        <v>6</v>
      </c>
      <c r="G24" s="19">
        <v>207</v>
      </c>
      <c r="H24" s="20">
        <v>20872</v>
      </c>
      <c r="J24" t="str">
        <v>R03</v>
      </c>
      <c r="K24">
        <v>207</v>
      </c>
      <c r="L24" s="25">
        <v>20872</v>
      </c>
      <c r="M24" t="e">
        <f t="shared" si="0"/>
        <v>#N/A</v>
      </c>
      <c r="N24" t="e">
        <f t="shared" si="1"/>
        <v>#N/A</v>
      </c>
    </row>
    <row r="25" spans="1:14" x14ac:dyDescent="0.3">
      <c r="A25" s="24" t="s">
        <v>1052</v>
      </c>
      <c r="B25" s="19">
        <v>50</v>
      </c>
      <c r="C25" s="19">
        <v>50</v>
      </c>
      <c r="F25" s="24" t="s">
        <v>13</v>
      </c>
      <c r="G25" s="19">
        <v>186</v>
      </c>
      <c r="H25" s="20">
        <v>16651</v>
      </c>
      <c r="J25" t="str">
        <v>R04</v>
      </c>
      <c r="K25">
        <v>186</v>
      </c>
      <c r="L25" s="25">
        <v>16651</v>
      </c>
      <c r="M25" t="e">
        <f t="shared" si="0"/>
        <v>#N/A</v>
      </c>
      <c r="N25" t="e">
        <f t="shared" si="1"/>
        <v>#N/A</v>
      </c>
    </row>
    <row r="26" spans="1:14" x14ac:dyDescent="0.3">
      <c r="A26" s="24" t="s">
        <v>1053</v>
      </c>
      <c r="B26" s="19">
        <v>76</v>
      </c>
      <c r="C26" s="19">
        <v>76</v>
      </c>
      <c r="F26" s="24" t="s">
        <v>10</v>
      </c>
      <c r="G26" s="19">
        <v>200</v>
      </c>
      <c r="H26" s="20">
        <v>20104</v>
      </c>
      <c r="J26" t="str">
        <v>R05</v>
      </c>
      <c r="K26">
        <v>200</v>
      </c>
      <c r="L26" s="25">
        <v>20104</v>
      </c>
      <c r="M26" t="e">
        <f t="shared" si="0"/>
        <v>#N/A</v>
      </c>
      <c r="N26" t="e">
        <f t="shared" si="1"/>
        <v>#N/A</v>
      </c>
    </row>
    <row r="27" spans="1:14" x14ac:dyDescent="0.3">
      <c r="A27" s="24" t="s">
        <v>1054</v>
      </c>
      <c r="B27" s="19">
        <v>114</v>
      </c>
      <c r="C27" s="19">
        <v>114</v>
      </c>
      <c r="F27" s="24" t="s">
        <v>1044</v>
      </c>
      <c r="G27" s="19">
        <v>1000</v>
      </c>
      <c r="H27" s="20">
        <v>96623</v>
      </c>
    </row>
    <row r="28" spans="1:14" x14ac:dyDescent="0.3">
      <c r="A28" s="24" t="s">
        <v>1055</v>
      </c>
      <c r="B28" s="19">
        <v>57</v>
      </c>
      <c r="C28" s="19">
        <v>57</v>
      </c>
    </row>
    <row r="29" spans="1:14" x14ac:dyDescent="0.3">
      <c r="A29" s="24" t="s">
        <v>1056</v>
      </c>
      <c r="B29" s="19">
        <v>53</v>
      </c>
      <c r="C29" s="19">
        <v>53</v>
      </c>
    </row>
    <row r="30" spans="1:14" x14ac:dyDescent="0.3">
      <c r="A30" s="24" t="s">
        <v>1044</v>
      </c>
      <c r="B30" s="19">
        <v>1000</v>
      </c>
      <c r="C30" s="19">
        <v>1000</v>
      </c>
    </row>
    <row r="33" spans="1:6" x14ac:dyDescent="0.3">
      <c r="A33" s="23" t="s">
        <v>1057</v>
      </c>
      <c r="B33" t="s">
        <v>1039</v>
      </c>
      <c r="F33" s="23" t="s">
        <v>1057</v>
      </c>
    </row>
    <row r="34" spans="1:6" x14ac:dyDescent="0.3">
      <c r="A34" s="24" t="s">
        <v>1062</v>
      </c>
      <c r="B34" s="19">
        <v>146</v>
      </c>
      <c r="F34" s="26" t="s">
        <v>11</v>
      </c>
    </row>
    <row r="35" spans="1:6" x14ac:dyDescent="0.3">
      <c r="A35" s="24" t="s">
        <v>1060</v>
      </c>
      <c r="B35" s="19">
        <v>133</v>
      </c>
      <c r="F35" s="26" t="s">
        <v>9</v>
      </c>
    </row>
    <row r="36" spans="1:6" x14ac:dyDescent="0.3">
      <c r="A36" s="24" t="s">
        <v>1064</v>
      </c>
      <c r="B36" s="19">
        <v>138</v>
      </c>
      <c r="F36" s="26" t="s">
        <v>6</v>
      </c>
    </row>
    <row r="37" spans="1:6" x14ac:dyDescent="0.3">
      <c r="A37" s="24" t="s">
        <v>1065</v>
      </c>
      <c r="B37" s="19">
        <v>153</v>
      </c>
      <c r="F37" s="26" t="s">
        <v>13</v>
      </c>
    </row>
    <row r="38" spans="1:6" x14ac:dyDescent="0.3">
      <c r="A38" s="24" t="s">
        <v>1063</v>
      </c>
      <c r="B38" s="19">
        <v>128</v>
      </c>
      <c r="F38" s="26" t="s">
        <v>10</v>
      </c>
    </row>
    <row r="39" spans="1:6" x14ac:dyDescent="0.3">
      <c r="A39" s="24" t="s">
        <v>1059</v>
      </c>
      <c r="B39" s="19">
        <v>141</v>
      </c>
    </row>
    <row r="40" spans="1:6" x14ac:dyDescent="0.3">
      <c r="A40" s="24" t="s">
        <v>1061</v>
      </c>
      <c r="B40" s="19">
        <v>161</v>
      </c>
    </row>
    <row r="41" spans="1:6" x14ac:dyDescent="0.3">
      <c r="A41" s="24" t="s">
        <v>1044</v>
      </c>
      <c r="B41" s="19">
        <v>1000</v>
      </c>
    </row>
    <row r="45" spans="1:6" x14ac:dyDescent="0.3">
      <c r="A45" s="23" t="s">
        <v>1039</v>
      </c>
      <c r="B45" s="23" t="s">
        <v>1073</v>
      </c>
    </row>
    <row r="46" spans="1:6" x14ac:dyDescent="0.3">
      <c r="A46" s="23" t="s">
        <v>1057</v>
      </c>
      <c r="B46" t="s">
        <v>999</v>
      </c>
      <c r="C46" t="s">
        <v>998</v>
      </c>
      <c r="D46" t="s">
        <v>1044</v>
      </c>
    </row>
    <row r="47" spans="1:6" x14ac:dyDescent="0.3">
      <c r="A47" s="24" t="s">
        <v>1002</v>
      </c>
      <c r="B47" s="19">
        <v>144</v>
      </c>
      <c r="C47" s="19">
        <v>132</v>
      </c>
      <c r="D47" s="19">
        <v>276</v>
      </c>
    </row>
    <row r="48" spans="1:6" x14ac:dyDescent="0.3">
      <c r="A48" s="24" t="s">
        <v>1001</v>
      </c>
      <c r="B48" s="19">
        <v>326</v>
      </c>
      <c r="C48" s="19">
        <v>63</v>
      </c>
      <c r="D48" s="19">
        <v>389</v>
      </c>
    </row>
    <row r="49" spans="1:7" x14ac:dyDescent="0.3">
      <c r="A49" s="24" t="s">
        <v>1000</v>
      </c>
      <c r="B49" s="19">
        <v>129</v>
      </c>
      <c r="C49" s="19">
        <v>206</v>
      </c>
      <c r="D49" s="19">
        <v>335</v>
      </c>
    </row>
    <row r="50" spans="1:7" x14ac:dyDescent="0.3">
      <c r="A50" s="24" t="s">
        <v>1044</v>
      </c>
      <c r="B50" s="19">
        <v>599</v>
      </c>
      <c r="C50" s="19">
        <v>401</v>
      </c>
      <c r="D50" s="19">
        <v>1000</v>
      </c>
    </row>
    <row r="53" spans="1:7" x14ac:dyDescent="0.3">
      <c r="A53" s="23" t="s">
        <v>1057</v>
      </c>
      <c r="B53" t="s">
        <v>1039</v>
      </c>
    </row>
    <row r="54" spans="1:7" x14ac:dyDescent="0.3">
      <c r="A54" s="24">
        <v>0</v>
      </c>
      <c r="B54" s="19">
        <v>1</v>
      </c>
    </row>
    <row r="55" spans="1:7" x14ac:dyDescent="0.3">
      <c r="A55" s="24">
        <v>1</v>
      </c>
      <c r="B55" s="19">
        <v>8</v>
      </c>
    </row>
    <row r="56" spans="1:7" x14ac:dyDescent="0.3">
      <c r="A56" s="24">
        <v>2</v>
      </c>
      <c r="B56" s="19">
        <v>59</v>
      </c>
    </row>
    <row r="57" spans="1:7" x14ac:dyDescent="0.3">
      <c r="A57" s="24">
        <v>3</v>
      </c>
      <c r="B57" s="19">
        <v>197</v>
      </c>
    </row>
    <row r="58" spans="1:7" x14ac:dyDescent="0.3">
      <c r="A58" s="24">
        <v>4</v>
      </c>
      <c r="B58" s="19">
        <v>428</v>
      </c>
    </row>
    <row r="59" spans="1:7" x14ac:dyDescent="0.3">
      <c r="A59" s="24">
        <v>5</v>
      </c>
      <c r="B59" s="19">
        <v>307</v>
      </c>
    </row>
    <row r="60" spans="1:7" x14ac:dyDescent="0.3">
      <c r="A60" s="24" t="s">
        <v>1044</v>
      </c>
      <c r="B60" s="19">
        <v>1000</v>
      </c>
    </row>
    <row r="63" spans="1:7" x14ac:dyDescent="0.3">
      <c r="A63" s="23" t="s">
        <v>1040</v>
      </c>
      <c r="B63" s="23" t="s">
        <v>1073</v>
      </c>
    </row>
    <row r="64" spans="1:7" x14ac:dyDescent="0.3">
      <c r="A64" s="23" t="s">
        <v>1057</v>
      </c>
      <c r="B64" t="s">
        <v>11</v>
      </c>
      <c r="C64" t="s">
        <v>9</v>
      </c>
      <c r="D64" t="s">
        <v>6</v>
      </c>
      <c r="E64" t="s">
        <v>13</v>
      </c>
      <c r="F64" t="s">
        <v>10</v>
      </c>
      <c r="G64" t="s">
        <v>1044</v>
      </c>
    </row>
    <row r="65" spans="1:7" x14ac:dyDescent="0.3">
      <c r="A65" s="24" t="s">
        <v>1002</v>
      </c>
    </row>
    <row r="66" spans="1:7" x14ac:dyDescent="0.3">
      <c r="A66" s="27" t="s">
        <v>20</v>
      </c>
      <c r="B66" s="20">
        <v>891</v>
      </c>
      <c r="C66" s="20">
        <v>1332</v>
      </c>
      <c r="D66" s="20">
        <v>1282</v>
      </c>
      <c r="E66" s="20">
        <v>739</v>
      </c>
      <c r="F66" s="20">
        <v>560</v>
      </c>
      <c r="G66" s="20">
        <v>4804</v>
      </c>
    </row>
    <row r="67" spans="1:7" x14ac:dyDescent="0.3">
      <c r="A67" s="27" t="s">
        <v>12</v>
      </c>
      <c r="B67" s="20">
        <v>1991</v>
      </c>
      <c r="C67" s="20">
        <v>1886</v>
      </c>
      <c r="D67" s="20">
        <v>1206</v>
      </c>
      <c r="E67" s="20">
        <v>884</v>
      </c>
      <c r="F67" s="20">
        <v>1722</v>
      </c>
      <c r="G67" s="20">
        <v>7689</v>
      </c>
    </row>
    <row r="68" spans="1:7" x14ac:dyDescent="0.3">
      <c r="A68" s="27" t="s">
        <v>8</v>
      </c>
      <c r="B68" s="20">
        <v>1163</v>
      </c>
      <c r="C68" s="20">
        <v>1180</v>
      </c>
      <c r="D68" s="20">
        <v>1616</v>
      </c>
      <c r="E68" s="20">
        <v>1043</v>
      </c>
      <c r="F68" s="20">
        <v>1747</v>
      </c>
      <c r="G68" s="20">
        <v>6749</v>
      </c>
    </row>
    <row r="69" spans="1:7" x14ac:dyDescent="0.3">
      <c r="A69" s="27" t="s">
        <v>16</v>
      </c>
      <c r="B69" s="20">
        <v>1438</v>
      </c>
      <c r="C69" s="20">
        <v>1616</v>
      </c>
      <c r="D69" s="20">
        <v>866</v>
      </c>
      <c r="E69" s="20">
        <v>829</v>
      </c>
      <c r="F69" s="20">
        <v>2070</v>
      </c>
      <c r="G69" s="20">
        <v>6819</v>
      </c>
    </row>
    <row r="70" spans="1:7" x14ac:dyDescent="0.3">
      <c r="A70" s="24" t="s">
        <v>1001</v>
      </c>
    </row>
    <row r="71" spans="1:7" x14ac:dyDescent="0.3">
      <c r="A71" s="27" t="s">
        <v>24</v>
      </c>
      <c r="B71" s="20">
        <v>1233</v>
      </c>
      <c r="C71" s="20">
        <v>223</v>
      </c>
      <c r="D71" s="20">
        <v>1680</v>
      </c>
      <c r="E71" s="20">
        <v>990</v>
      </c>
      <c r="F71" s="20">
        <v>1508</v>
      </c>
      <c r="G71" s="20">
        <v>5634</v>
      </c>
    </row>
    <row r="72" spans="1:7" x14ac:dyDescent="0.3">
      <c r="A72" s="27" t="s">
        <v>15</v>
      </c>
      <c r="B72" s="20">
        <v>1598</v>
      </c>
      <c r="C72" s="20">
        <v>1907</v>
      </c>
      <c r="D72" s="20">
        <v>869</v>
      </c>
      <c r="E72" s="20">
        <v>1426</v>
      </c>
      <c r="F72" s="20">
        <v>1416</v>
      </c>
      <c r="G72" s="20">
        <v>7216</v>
      </c>
    </row>
    <row r="73" spans="1:7" x14ac:dyDescent="0.3">
      <c r="A73" s="27" t="s">
        <v>5</v>
      </c>
      <c r="B73" s="20">
        <v>900</v>
      </c>
      <c r="C73" s="20">
        <v>1016</v>
      </c>
      <c r="D73" s="20">
        <v>960</v>
      </c>
      <c r="E73" s="20">
        <v>940</v>
      </c>
      <c r="F73" s="20">
        <v>1193</v>
      </c>
      <c r="G73" s="20">
        <v>5009</v>
      </c>
    </row>
    <row r="74" spans="1:7" x14ac:dyDescent="0.3">
      <c r="A74" s="27" t="s">
        <v>18</v>
      </c>
      <c r="B74" s="20">
        <v>900</v>
      </c>
      <c r="C74" s="20">
        <v>1470</v>
      </c>
      <c r="D74" s="20">
        <v>1617</v>
      </c>
      <c r="E74" s="20">
        <v>1314</v>
      </c>
      <c r="F74" s="20">
        <v>941</v>
      </c>
      <c r="G74" s="20">
        <v>6242</v>
      </c>
    </row>
    <row r="75" spans="1:7" x14ac:dyDescent="0.3">
      <c r="A75" s="27" t="s">
        <v>14</v>
      </c>
      <c r="B75" s="20">
        <v>1255</v>
      </c>
      <c r="C75" s="20">
        <v>516</v>
      </c>
      <c r="D75" s="20">
        <v>1874</v>
      </c>
      <c r="E75" s="20">
        <v>1863</v>
      </c>
      <c r="F75" s="20">
        <v>1722</v>
      </c>
      <c r="G75" s="20">
        <v>7230</v>
      </c>
    </row>
    <row r="76" spans="1:7" x14ac:dyDescent="0.3">
      <c r="A76" s="27" t="s">
        <v>19</v>
      </c>
      <c r="B76" s="20">
        <v>1138</v>
      </c>
      <c r="C76" s="20">
        <v>1898</v>
      </c>
      <c r="D76" s="20">
        <v>1482</v>
      </c>
      <c r="E76" s="20">
        <v>846</v>
      </c>
      <c r="F76" s="20">
        <v>1154</v>
      </c>
      <c r="G76" s="20">
        <v>6518</v>
      </c>
    </row>
    <row r="77" spans="1:7" x14ac:dyDescent="0.3">
      <c r="A77" s="24" t="s">
        <v>1000</v>
      </c>
    </row>
    <row r="78" spans="1:7" x14ac:dyDescent="0.3">
      <c r="A78" s="27" t="s">
        <v>17</v>
      </c>
      <c r="B78" s="20">
        <v>1655</v>
      </c>
      <c r="C78" s="20">
        <v>805</v>
      </c>
      <c r="D78" s="20">
        <v>2263</v>
      </c>
      <c r="E78" s="20">
        <v>987</v>
      </c>
      <c r="F78" s="20">
        <v>1075</v>
      </c>
      <c r="G78" s="20">
        <v>6785</v>
      </c>
    </row>
    <row r="79" spans="1:7" x14ac:dyDescent="0.3">
      <c r="A79" s="27" t="s">
        <v>23</v>
      </c>
      <c r="B79" s="20">
        <v>1104</v>
      </c>
      <c r="C79" s="20">
        <v>2280</v>
      </c>
      <c r="D79" s="20">
        <v>1445</v>
      </c>
      <c r="E79" s="20">
        <v>1722</v>
      </c>
      <c r="F79" s="20">
        <v>1196</v>
      </c>
      <c r="G79" s="20">
        <v>7747</v>
      </c>
    </row>
    <row r="80" spans="1:7" x14ac:dyDescent="0.3">
      <c r="A80" s="27" t="s">
        <v>7</v>
      </c>
      <c r="B80" s="20">
        <v>372</v>
      </c>
      <c r="C80" s="20">
        <v>1818</v>
      </c>
      <c r="D80" s="20">
        <v>1346</v>
      </c>
      <c r="E80" s="20">
        <v>1156</v>
      </c>
      <c r="F80" s="20">
        <v>1484</v>
      </c>
      <c r="G80" s="20">
        <v>6176</v>
      </c>
    </row>
    <row r="81" spans="1:7" x14ac:dyDescent="0.3">
      <c r="A81" s="27" t="s">
        <v>22</v>
      </c>
      <c r="B81" s="20">
        <v>1415</v>
      </c>
      <c r="C81" s="20">
        <v>1271</v>
      </c>
      <c r="D81" s="20">
        <v>1214</v>
      </c>
      <c r="E81" s="20">
        <v>1135</v>
      </c>
      <c r="F81" s="20">
        <v>1566</v>
      </c>
      <c r="G81" s="20">
        <v>6601</v>
      </c>
    </row>
    <row r="82" spans="1:7" x14ac:dyDescent="0.3">
      <c r="A82" s="27" t="s">
        <v>21</v>
      </c>
      <c r="B82" s="20">
        <v>1362</v>
      </c>
      <c r="C82" s="20">
        <v>1363</v>
      </c>
      <c r="D82" s="20">
        <v>1152</v>
      </c>
      <c r="E82" s="20">
        <v>777</v>
      </c>
      <c r="F82" s="20">
        <v>750</v>
      </c>
      <c r="G82" s="20">
        <v>5404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workbookViewId="0">
      <selection activeCell="H12" sqref="H12"/>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ht="48" customHeight="1" x14ac:dyDescent="0.3"/>
    <row r="2" spans="2:20" x14ac:dyDescent="0.3">
      <c r="R2" s="1"/>
    </row>
    <row r="3" spans="2:20" x14ac:dyDescent="0.3">
      <c r="B3" s="12" t="s">
        <v>25</v>
      </c>
      <c r="C3" s="12" t="s">
        <v>0</v>
      </c>
      <c r="D3" s="13" t="s">
        <v>1</v>
      </c>
      <c r="E3" s="14" t="s">
        <v>3</v>
      </c>
      <c r="F3" s="14" t="s">
        <v>4</v>
      </c>
      <c r="G3" s="12" t="s">
        <v>2</v>
      </c>
      <c r="H3" s="12" t="s">
        <v>994</v>
      </c>
      <c r="I3" t="s">
        <v>1035</v>
      </c>
      <c r="J3" t="s">
        <v>1036</v>
      </c>
      <c r="K3" t="s">
        <v>1037</v>
      </c>
      <c r="L3" t="s">
        <v>1038</v>
      </c>
      <c r="Q3" s="6" t="s">
        <v>0</v>
      </c>
      <c r="R3" s="7" t="s">
        <v>995</v>
      </c>
      <c r="S3" s="7" t="s">
        <v>996</v>
      </c>
      <c r="T3" s="8" t="s">
        <v>997</v>
      </c>
    </row>
    <row r="4" spans="2:20" x14ac:dyDescent="0.3">
      <c r="B4" t="s">
        <v>26</v>
      </c>
      <c r="C4" t="s">
        <v>20</v>
      </c>
      <c r="D4">
        <v>116</v>
      </c>
      <c r="E4" s="15" t="s">
        <v>10</v>
      </c>
      <c r="F4" s="16">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4" t="s">
        <v>17</v>
      </c>
      <c r="R4" s="3" t="s">
        <v>998</v>
      </c>
      <c r="S4" s="2">
        <v>41</v>
      </c>
      <c r="T4" s="5" t="s">
        <v>1000</v>
      </c>
    </row>
    <row r="5" spans="2:20" x14ac:dyDescent="0.3">
      <c r="B5" t="s">
        <v>27</v>
      </c>
      <c r="C5" t="s">
        <v>12</v>
      </c>
      <c r="D5">
        <v>119</v>
      </c>
      <c r="E5" s="15" t="s">
        <v>10</v>
      </c>
      <c r="F5" s="16">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4" t="s">
        <v>24</v>
      </c>
      <c r="R5" s="3" t="s">
        <v>998</v>
      </c>
      <c r="S5" s="2">
        <v>31</v>
      </c>
      <c r="T5" s="5" t="s">
        <v>1001</v>
      </c>
    </row>
    <row r="6" spans="2:20" x14ac:dyDescent="0.3">
      <c r="B6" t="s">
        <v>28</v>
      </c>
      <c r="C6" t="s">
        <v>23</v>
      </c>
      <c r="D6">
        <v>68</v>
      </c>
      <c r="E6" s="15" t="s">
        <v>9</v>
      </c>
      <c r="F6" s="16">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4" t="s">
        <v>20</v>
      </c>
      <c r="R6" s="3" t="s">
        <v>998</v>
      </c>
      <c r="S6" s="2">
        <v>26</v>
      </c>
      <c r="T6" s="5" t="s">
        <v>1002</v>
      </c>
    </row>
    <row r="7" spans="2:20" x14ac:dyDescent="0.3">
      <c r="B7" t="s">
        <v>29</v>
      </c>
      <c r="C7" t="s">
        <v>21</v>
      </c>
      <c r="D7">
        <v>119</v>
      </c>
      <c r="E7" s="15" t="s">
        <v>9</v>
      </c>
      <c r="F7" s="16">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4" t="s">
        <v>12</v>
      </c>
      <c r="R7" s="3" t="s">
        <v>998</v>
      </c>
      <c r="S7" s="2">
        <v>36</v>
      </c>
      <c r="T7" s="5" t="s">
        <v>1002</v>
      </c>
    </row>
    <row r="8" spans="2:20" x14ac:dyDescent="0.3">
      <c r="B8" t="s">
        <v>30</v>
      </c>
      <c r="C8" t="s">
        <v>8</v>
      </c>
      <c r="D8">
        <v>128</v>
      </c>
      <c r="E8" s="15" t="s">
        <v>11</v>
      </c>
      <c r="F8" s="16">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4" t="s">
        <v>23</v>
      </c>
      <c r="R8" s="3" t="s">
        <v>998</v>
      </c>
      <c r="S8" s="2">
        <v>37</v>
      </c>
      <c r="T8" s="5" t="s">
        <v>1000</v>
      </c>
    </row>
    <row r="9" spans="2:20" x14ac:dyDescent="0.3">
      <c r="B9" t="s">
        <v>31</v>
      </c>
      <c r="C9" t="s">
        <v>8</v>
      </c>
      <c r="D9">
        <v>49</v>
      </c>
      <c r="E9" s="15" t="s">
        <v>9</v>
      </c>
      <c r="F9" s="16">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4" t="s">
        <v>7</v>
      </c>
      <c r="R9" s="3" t="s">
        <v>998</v>
      </c>
      <c r="S9" s="2">
        <v>23</v>
      </c>
      <c r="T9" s="5" t="s">
        <v>1000</v>
      </c>
    </row>
    <row r="10" spans="2:20" x14ac:dyDescent="0.3">
      <c r="B10" t="s">
        <v>32</v>
      </c>
      <c r="C10" t="s">
        <v>15</v>
      </c>
      <c r="D10">
        <v>84</v>
      </c>
      <c r="E10" s="15" t="s">
        <v>10</v>
      </c>
      <c r="F10" s="16">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4" t="s">
        <v>15</v>
      </c>
      <c r="R10" s="3" t="s">
        <v>999</v>
      </c>
      <c r="S10" s="2">
        <v>22</v>
      </c>
      <c r="T10" s="5" t="s">
        <v>1001</v>
      </c>
    </row>
    <row r="11" spans="2:20" x14ac:dyDescent="0.3">
      <c r="B11" t="s">
        <v>33</v>
      </c>
      <c r="C11" t="s">
        <v>20</v>
      </c>
      <c r="D11">
        <v>103</v>
      </c>
      <c r="E11" s="15" t="s">
        <v>13</v>
      </c>
      <c r="F11" s="16">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4" t="s">
        <v>5</v>
      </c>
      <c r="R11" s="3" t="s">
        <v>999</v>
      </c>
      <c r="S11" s="2">
        <v>42</v>
      </c>
      <c r="T11" s="5" t="s">
        <v>1001</v>
      </c>
    </row>
    <row r="12" spans="2:20" x14ac:dyDescent="0.3">
      <c r="B12" t="s">
        <v>34</v>
      </c>
      <c r="C12" t="s">
        <v>23</v>
      </c>
      <c r="D12">
        <v>31</v>
      </c>
      <c r="E12" s="15" t="s">
        <v>9</v>
      </c>
      <c r="F12" s="16">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4" t="s">
        <v>22</v>
      </c>
      <c r="R12" s="3" t="s">
        <v>999</v>
      </c>
      <c r="S12" s="2">
        <v>25</v>
      </c>
      <c r="T12" s="5" t="s">
        <v>1000</v>
      </c>
    </row>
    <row r="13" spans="2:20" x14ac:dyDescent="0.3">
      <c r="B13" t="s">
        <v>35</v>
      </c>
      <c r="C13" t="s">
        <v>18</v>
      </c>
      <c r="D13">
        <v>44</v>
      </c>
      <c r="E13" s="15" t="s">
        <v>6</v>
      </c>
      <c r="F13" s="16">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4" t="s">
        <v>18</v>
      </c>
      <c r="R13" s="3" t="s">
        <v>999</v>
      </c>
      <c r="S13" s="2">
        <v>30</v>
      </c>
      <c r="T13" s="5" t="s">
        <v>1001</v>
      </c>
    </row>
    <row r="14" spans="2:20" x14ac:dyDescent="0.3">
      <c r="B14" t="s">
        <v>36</v>
      </c>
      <c r="C14" t="s">
        <v>8</v>
      </c>
      <c r="D14">
        <v>102</v>
      </c>
      <c r="E14" s="15" t="s">
        <v>9</v>
      </c>
      <c r="F14" s="16">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4" t="s">
        <v>8</v>
      </c>
      <c r="R14" s="3" t="s">
        <v>999</v>
      </c>
      <c r="S14" s="2">
        <v>30</v>
      </c>
      <c r="T14" s="5" t="s">
        <v>1002</v>
      </c>
    </row>
    <row r="15" spans="2:20" x14ac:dyDescent="0.3">
      <c r="B15" t="s">
        <v>37</v>
      </c>
      <c r="C15" t="s">
        <v>14</v>
      </c>
      <c r="D15">
        <v>135</v>
      </c>
      <c r="E15" s="15" t="s">
        <v>10</v>
      </c>
      <c r="F15" s="16">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4" t="s">
        <v>16</v>
      </c>
      <c r="R15" s="3" t="s">
        <v>999</v>
      </c>
      <c r="S15" s="2">
        <v>28</v>
      </c>
      <c r="T15" s="5" t="s">
        <v>1002</v>
      </c>
    </row>
    <row r="16" spans="2:20" x14ac:dyDescent="0.3">
      <c r="B16" t="s">
        <v>38</v>
      </c>
      <c r="C16" t="s">
        <v>24</v>
      </c>
      <c r="D16">
        <v>98</v>
      </c>
      <c r="E16" s="15" t="s">
        <v>9</v>
      </c>
      <c r="F16" s="16">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4" t="s">
        <v>14</v>
      </c>
      <c r="R16" s="3" t="s">
        <v>999</v>
      </c>
      <c r="S16" s="2">
        <v>37</v>
      </c>
      <c r="T16" s="5" t="s">
        <v>1001</v>
      </c>
    </row>
    <row r="17" spans="2:20" x14ac:dyDescent="0.3">
      <c r="B17" t="s">
        <v>39</v>
      </c>
      <c r="C17" t="s">
        <v>18</v>
      </c>
      <c r="D17">
        <v>139</v>
      </c>
      <c r="E17" s="15" t="s">
        <v>9</v>
      </c>
      <c r="F17" s="16">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4" t="s">
        <v>21</v>
      </c>
      <c r="R17" s="3" t="s">
        <v>999</v>
      </c>
      <c r="S17" s="2">
        <v>38</v>
      </c>
      <c r="T17" s="5" t="s">
        <v>1000</v>
      </c>
    </row>
    <row r="18" spans="2:20" x14ac:dyDescent="0.3">
      <c r="B18" t="s">
        <v>40</v>
      </c>
      <c r="C18" t="s">
        <v>14</v>
      </c>
      <c r="D18">
        <v>48</v>
      </c>
      <c r="E18" s="15" t="s">
        <v>11</v>
      </c>
      <c r="F18" s="16">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9" t="s">
        <v>19</v>
      </c>
      <c r="R18" s="17" t="s">
        <v>999</v>
      </c>
      <c r="S18" s="10">
        <v>43</v>
      </c>
      <c r="T18" s="11" t="s">
        <v>1001</v>
      </c>
    </row>
    <row r="19" spans="2:20" x14ac:dyDescent="0.3">
      <c r="B19" t="s">
        <v>41</v>
      </c>
      <c r="C19" t="s">
        <v>18</v>
      </c>
      <c r="D19">
        <v>176</v>
      </c>
      <c r="E19" s="15" t="s">
        <v>10</v>
      </c>
      <c r="F19" s="16">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5" t="s">
        <v>11</v>
      </c>
      <c r="F20" s="16">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5" t="s">
        <v>6</v>
      </c>
      <c r="F21" s="16">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5" t="s">
        <v>9</v>
      </c>
      <c r="F22" s="16">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5" t="s">
        <v>10</v>
      </c>
      <c r="F23" s="16">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5" t="s">
        <v>10</v>
      </c>
      <c r="F24" s="16">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5" t="s">
        <v>13</v>
      </c>
      <c r="F25" s="16">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5" t="s">
        <v>13</v>
      </c>
      <c r="F26" s="16">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5" t="s">
        <v>9</v>
      </c>
      <c r="F27" s="16">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5" t="s">
        <v>11</v>
      </c>
      <c r="F28" s="16">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5" t="s">
        <v>10</v>
      </c>
      <c r="F29" s="16">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5" t="s">
        <v>10</v>
      </c>
      <c r="F30" s="16">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5" t="s">
        <v>10</v>
      </c>
      <c r="F31" s="16">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5" t="s">
        <v>13</v>
      </c>
      <c r="F32" s="16">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5" t="s">
        <v>11</v>
      </c>
      <c r="F33" s="16">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5" t="s">
        <v>10</v>
      </c>
      <c r="F34" s="16">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5" t="s">
        <v>10</v>
      </c>
      <c r="F35" s="16">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5" t="s">
        <v>11</v>
      </c>
      <c r="F36" s="16">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5" t="s">
        <v>9</v>
      </c>
      <c r="F37" s="16">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5" t="s">
        <v>10</v>
      </c>
      <c r="F38" s="16">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5" t="s">
        <v>6</v>
      </c>
      <c r="F39" s="16">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5" t="s">
        <v>6</v>
      </c>
      <c r="F40" s="16">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5" t="s">
        <v>9</v>
      </c>
      <c r="F41" s="16">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5" t="s">
        <v>13</v>
      </c>
      <c r="F42" s="16">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5" t="s">
        <v>10</v>
      </c>
      <c r="F43" s="16">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5" t="s">
        <v>13</v>
      </c>
      <c r="F44" s="16">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5" t="s">
        <v>9</v>
      </c>
      <c r="F45" s="16">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5" t="s">
        <v>10</v>
      </c>
      <c r="F46" s="16">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5" t="s">
        <v>6</v>
      </c>
      <c r="F47" s="16">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5" t="s">
        <v>11</v>
      </c>
      <c r="F48" s="16">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5" t="s">
        <v>6</v>
      </c>
      <c r="F49" s="16">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5" t="s">
        <v>11</v>
      </c>
      <c r="F50" s="16">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5" t="s">
        <v>10</v>
      </c>
      <c r="F51" s="16">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5" t="s">
        <v>9</v>
      </c>
      <c r="F52" s="16">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5" t="s">
        <v>9</v>
      </c>
      <c r="F53" s="16">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5" t="s">
        <v>11</v>
      </c>
      <c r="F54" s="16">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5" t="s">
        <v>13</v>
      </c>
      <c r="F55" s="16">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5" t="s">
        <v>6</v>
      </c>
      <c r="F56" s="16">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5" t="s">
        <v>11</v>
      </c>
      <c r="F57" s="16">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5" t="s">
        <v>10</v>
      </c>
      <c r="F58" s="16">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5" t="s">
        <v>11</v>
      </c>
      <c r="F59" s="16">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5" t="s">
        <v>9</v>
      </c>
      <c r="F60" s="16">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5" t="s">
        <v>9</v>
      </c>
      <c r="F61" s="16">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5" t="s">
        <v>10</v>
      </c>
      <c r="F62" s="16">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5" t="s">
        <v>9</v>
      </c>
      <c r="F63" s="16">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5" t="s">
        <v>11</v>
      </c>
      <c r="F64" s="16">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5" t="s">
        <v>13</v>
      </c>
      <c r="F65" s="16">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5" t="s">
        <v>6</v>
      </c>
      <c r="F66" s="16">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5" t="s">
        <v>10</v>
      </c>
      <c r="F67" s="16">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5" t="s">
        <v>13</v>
      </c>
      <c r="F68" s="16">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5" t="s">
        <v>9</v>
      </c>
      <c r="F69" s="16">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5" t="s">
        <v>10</v>
      </c>
      <c r="F70" s="16">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5" t="s">
        <v>13</v>
      </c>
      <c r="F71" s="16">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5" t="s">
        <v>11</v>
      </c>
      <c r="F72" s="16">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5" t="s">
        <v>6</v>
      </c>
      <c r="F73" s="16">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5" t="s">
        <v>6</v>
      </c>
      <c r="F74" s="16">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5" t="s">
        <v>11</v>
      </c>
      <c r="F75" s="16">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5" t="s">
        <v>11</v>
      </c>
      <c r="F76" s="16">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5" t="s">
        <v>6</v>
      </c>
      <c r="F77" s="16">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5" t="s">
        <v>11</v>
      </c>
      <c r="F78" s="16">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5" t="s">
        <v>6</v>
      </c>
      <c r="F79" s="16">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5" t="s">
        <v>9</v>
      </c>
      <c r="F80" s="16">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5" t="s">
        <v>6</v>
      </c>
      <c r="F81" s="16">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5" t="s">
        <v>10</v>
      </c>
      <c r="F82" s="16">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5" t="s">
        <v>6</v>
      </c>
      <c r="F83" s="16">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5" t="s">
        <v>13</v>
      </c>
      <c r="F84" s="16">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5" t="s">
        <v>6</v>
      </c>
      <c r="F85" s="16">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5" t="s">
        <v>10</v>
      </c>
      <c r="F86" s="16">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5" t="s">
        <v>10</v>
      </c>
      <c r="F87" s="16">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5" t="s">
        <v>13</v>
      </c>
      <c r="F88" s="16">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5" t="s">
        <v>10</v>
      </c>
      <c r="F89" s="16">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5" t="s">
        <v>10</v>
      </c>
      <c r="F90" s="16">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5" t="s">
        <v>9</v>
      </c>
      <c r="F91" s="16">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5" t="s">
        <v>11</v>
      </c>
      <c r="F92" s="16">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5" t="s">
        <v>11</v>
      </c>
      <c r="F93" s="16">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5" t="s">
        <v>10</v>
      </c>
      <c r="F94" s="16">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5" t="s">
        <v>11</v>
      </c>
      <c r="F95" s="16">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5" t="s">
        <v>13</v>
      </c>
      <c r="F96" s="16">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5" t="s">
        <v>9</v>
      </c>
      <c r="F97" s="16">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5" t="s">
        <v>9</v>
      </c>
      <c r="F98" s="16">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5" t="s">
        <v>10</v>
      </c>
      <c r="F99" s="16">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5" t="s">
        <v>9</v>
      </c>
      <c r="F100" s="16">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5" t="s">
        <v>6</v>
      </c>
      <c r="F101" s="16">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5" t="s">
        <v>10</v>
      </c>
      <c r="F102" s="16">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5" t="s">
        <v>6</v>
      </c>
      <c r="F103" s="16">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5" t="s">
        <v>10</v>
      </c>
      <c r="F104" s="16">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5" t="s">
        <v>11</v>
      </c>
      <c r="F105" s="16">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5" t="s">
        <v>13</v>
      </c>
      <c r="F106" s="16">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5" t="s">
        <v>11</v>
      </c>
      <c r="F107" s="16">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5" t="s">
        <v>9</v>
      </c>
      <c r="F108" s="16">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5" t="s">
        <v>6</v>
      </c>
      <c r="F109" s="16">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5" t="s">
        <v>13</v>
      </c>
      <c r="F110" s="16">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5" t="s">
        <v>11</v>
      </c>
      <c r="F111" s="16">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5" t="s">
        <v>6</v>
      </c>
      <c r="F112" s="16">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5" t="s">
        <v>13</v>
      </c>
      <c r="F113" s="16">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5" t="s">
        <v>9</v>
      </c>
      <c r="F114" s="16">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5" t="s">
        <v>6</v>
      </c>
      <c r="F115" s="16">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5" t="s">
        <v>11</v>
      </c>
      <c r="F116" s="16">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5" t="s">
        <v>13</v>
      </c>
      <c r="F117" s="16">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5" t="s">
        <v>11</v>
      </c>
      <c r="F118" s="16">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5" t="s">
        <v>6</v>
      </c>
      <c r="F119" s="16">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5" t="s">
        <v>6</v>
      </c>
      <c r="F120" s="16">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5" t="s">
        <v>10</v>
      </c>
      <c r="F121" s="16">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5" t="s">
        <v>9</v>
      </c>
      <c r="F122" s="16">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5" t="s">
        <v>6</v>
      </c>
      <c r="F123" s="16">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5" t="s">
        <v>10</v>
      </c>
      <c r="F124" s="16">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5" t="s">
        <v>10</v>
      </c>
      <c r="F125" s="16">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5" t="s">
        <v>9</v>
      </c>
      <c r="F126" s="16">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5" t="s">
        <v>9</v>
      </c>
      <c r="F127" s="16">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5" t="s">
        <v>10</v>
      </c>
      <c r="F128" s="16">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5" t="s">
        <v>11</v>
      </c>
      <c r="F129" s="16">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5" t="s">
        <v>11</v>
      </c>
      <c r="F130" s="16">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5" t="s">
        <v>10</v>
      </c>
      <c r="F131" s="16">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5" t="s">
        <v>13</v>
      </c>
      <c r="F132" s="16">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5" t="s">
        <v>10</v>
      </c>
      <c r="F133" s="16">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5" t="s">
        <v>6</v>
      </c>
      <c r="F134" s="16">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5" t="s">
        <v>11</v>
      </c>
      <c r="F135" s="16">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5" t="s">
        <v>13</v>
      </c>
      <c r="F136" s="16">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5" t="s">
        <v>9</v>
      </c>
      <c r="F137" s="16">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5" t="s">
        <v>10</v>
      </c>
      <c r="F138" s="16">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5" t="s">
        <v>6</v>
      </c>
      <c r="F139" s="16">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5" t="s">
        <v>10</v>
      </c>
      <c r="F140" s="16">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5" t="s">
        <v>13</v>
      </c>
      <c r="F141" s="16">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5" t="s">
        <v>11</v>
      </c>
      <c r="F142" s="16">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5" t="s">
        <v>10</v>
      </c>
      <c r="F143" s="16">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5" t="s">
        <v>11</v>
      </c>
      <c r="F144" s="16">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5" t="s">
        <v>10</v>
      </c>
      <c r="F145" s="16">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5" t="s">
        <v>13</v>
      </c>
      <c r="F146" s="16">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5" t="s">
        <v>6</v>
      </c>
      <c r="F147" s="16">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5" t="s">
        <v>11</v>
      </c>
      <c r="F148" s="16">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5" t="s">
        <v>6</v>
      </c>
      <c r="F149" s="16">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5" t="s">
        <v>13</v>
      </c>
      <c r="F150" s="16">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5" t="s">
        <v>9</v>
      </c>
      <c r="F151" s="16">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5" t="s">
        <v>6</v>
      </c>
      <c r="F152" s="16">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5" t="s">
        <v>11</v>
      </c>
      <c r="F153" s="16">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5" t="s">
        <v>13</v>
      </c>
      <c r="F154" s="16">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5" t="s">
        <v>13</v>
      </c>
      <c r="F155" s="16">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5" t="s">
        <v>13</v>
      </c>
      <c r="F156" s="16">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5" t="s">
        <v>6</v>
      </c>
      <c r="F157" s="16">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5" t="s">
        <v>11</v>
      </c>
      <c r="F158" s="16">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5" t="s">
        <v>9</v>
      </c>
      <c r="F159" s="16">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5" t="s">
        <v>9</v>
      </c>
      <c r="F160" s="16">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5" t="s">
        <v>9</v>
      </c>
      <c r="F161" s="16">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5" t="s">
        <v>10</v>
      </c>
      <c r="F162" s="16">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5" t="s">
        <v>10</v>
      </c>
      <c r="F163" s="16">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5" t="s">
        <v>11</v>
      </c>
      <c r="F164" s="16">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5" t="s">
        <v>9</v>
      </c>
      <c r="F165" s="16">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5" t="s">
        <v>10</v>
      </c>
      <c r="F166" s="16">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5" t="s">
        <v>9</v>
      </c>
      <c r="F167" s="16">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5" t="s">
        <v>6</v>
      </c>
      <c r="F168" s="16">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5" t="s">
        <v>11</v>
      </c>
      <c r="F169" s="16">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5" t="s">
        <v>6</v>
      </c>
      <c r="F170" s="16">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5" t="s">
        <v>9</v>
      </c>
      <c r="F171" s="16">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5" t="s">
        <v>11</v>
      </c>
      <c r="F172" s="16">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5" t="s">
        <v>6</v>
      </c>
      <c r="F173" s="16">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5" t="s">
        <v>13</v>
      </c>
      <c r="F174" s="16">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5" t="s">
        <v>6</v>
      </c>
      <c r="F175" s="16">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5" t="s">
        <v>9</v>
      </c>
      <c r="F176" s="16">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5" t="s">
        <v>10</v>
      </c>
      <c r="F177" s="16">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5" t="s">
        <v>11</v>
      </c>
      <c r="F178" s="16">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5" t="s">
        <v>6</v>
      </c>
      <c r="F179" s="16">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5" t="s">
        <v>10</v>
      </c>
      <c r="F180" s="16">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5" t="s">
        <v>9</v>
      </c>
      <c r="F181" s="16">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5" t="s">
        <v>11</v>
      </c>
      <c r="F182" s="16">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5" t="s">
        <v>13</v>
      </c>
      <c r="F183" s="16">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5" t="s">
        <v>13</v>
      </c>
      <c r="F184" s="16">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5" t="s">
        <v>9</v>
      </c>
      <c r="F185" s="16">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5" t="s">
        <v>9</v>
      </c>
      <c r="F186" s="16">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5" t="s">
        <v>10</v>
      </c>
      <c r="F187" s="16">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5" t="s">
        <v>10</v>
      </c>
      <c r="F188" s="16">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5" t="s">
        <v>10</v>
      </c>
      <c r="F189" s="16">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5" t="s">
        <v>13</v>
      </c>
      <c r="F190" s="16">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5" t="s">
        <v>11</v>
      </c>
      <c r="F191" s="16">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5" t="s">
        <v>6</v>
      </c>
      <c r="F192" s="16">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5" t="s">
        <v>9</v>
      </c>
      <c r="F193" s="16">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5" t="s">
        <v>10</v>
      </c>
      <c r="F194" s="16">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5" t="s">
        <v>6</v>
      </c>
      <c r="F195" s="16">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5" t="s">
        <v>11</v>
      </c>
      <c r="F196" s="16">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5" t="s">
        <v>13</v>
      </c>
      <c r="F197" s="16">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5" t="s">
        <v>10</v>
      </c>
      <c r="F198" s="16">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5" t="s">
        <v>13</v>
      </c>
      <c r="F199" s="16">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5" t="s">
        <v>9</v>
      </c>
      <c r="F200" s="16">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5" t="s">
        <v>13</v>
      </c>
      <c r="F201" s="16">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5" t="s">
        <v>13</v>
      </c>
      <c r="F202" s="16">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5" t="s">
        <v>11</v>
      </c>
      <c r="F203" s="16">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5" t="s">
        <v>10</v>
      </c>
      <c r="F204" s="16">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5" t="s">
        <v>6</v>
      </c>
      <c r="F205" s="16">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5" t="s">
        <v>13</v>
      </c>
      <c r="F206" s="16">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5" t="s">
        <v>13</v>
      </c>
      <c r="F207" s="16">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5" t="s">
        <v>10</v>
      </c>
      <c r="F208" s="16">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5" t="s">
        <v>13</v>
      </c>
      <c r="F209" s="16">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5" t="s">
        <v>6</v>
      </c>
      <c r="F210" s="16">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5" t="s">
        <v>9</v>
      </c>
      <c r="F211" s="16">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5" t="s">
        <v>13</v>
      </c>
      <c r="F212" s="16">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5" t="s">
        <v>11</v>
      </c>
      <c r="F213" s="16">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5" t="s">
        <v>10</v>
      </c>
      <c r="F214" s="16">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5" t="s">
        <v>10</v>
      </c>
      <c r="F215" s="16">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5" t="s">
        <v>6</v>
      </c>
      <c r="F216" s="16">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5" t="s">
        <v>11</v>
      </c>
      <c r="F217" s="16">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5" t="s">
        <v>13</v>
      </c>
      <c r="F218" s="16">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5" t="s">
        <v>9</v>
      </c>
      <c r="F219" s="16">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5" t="s">
        <v>13</v>
      </c>
      <c r="F220" s="16">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5" t="s">
        <v>6</v>
      </c>
      <c r="F221" s="16">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5" t="s">
        <v>6</v>
      </c>
      <c r="F222" s="16">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5" t="s">
        <v>9</v>
      </c>
      <c r="F223" s="16">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5" t="s">
        <v>10</v>
      </c>
      <c r="F224" s="16">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5" t="s">
        <v>13</v>
      </c>
      <c r="F225" s="16">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5" t="s">
        <v>13</v>
      </c>
      <c r="F226" s="16">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5" t="s">
        <v>10</v>
      </c>
      <c r="F227" s="16">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5" t="s">
        <v>9</v>
      </c>
      <c r="F228" s="16">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5" t="s">
        <v>9</v>
      </c>
      <c r="F229" s="16">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5" t="s">
        <v>9</v>
      </c>
      <c r="F230" s="16">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5" t="s">
        <v>6</v>
      </c>
      <c r="F231" s="16">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5" t="s">
        <v>13</v>
      </c>
      <c r="F232" s="16">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5" t="s">
        <v>10</v>
      </c>
      <c r="F233" s="16">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5" t="s">
        <v>9</v>
      </c>
      <c r="F234" s="16">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5" t="s">
        <v>10</v>
      </c>
      <c r="F235" s="16">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5" t="s">
        <v>9</v>
      </c>
      <c r="F236" s="16">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5" t="s">
        <v>9</v>
      </c>
      <c r="F237" s="16">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5" t="s">
        <v>9</v>
      </c>
      <c r="F238" s="16">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5" t="s">
        <v>9</v>
      </c>
      <c r="F239" s="16">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5" t="s">
        <v>11</v>
      </c>
      <c r="F240" s="16">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5" t="s">
        <v>10</v>
      </c>
      <c r="F241" s="16">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5" t="s">
        <v>13</v>
      </c>
      <c r="F242" s="16">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5" t="s">
        <v>9</v>
      </c>
      <c r="F243" s="16">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5" t="s">
        <v>6</v>
      </c>
      <c r="F244" s="16">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5" t="s">
        <v>11</v>
      </c>
      <c r="F245" s="16">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5" t="s">
        <v>9</v>
      </c>
      <c r="F246" s="16">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5" t="s">
        <v>11</v>
      </c>
      <c r="F247" s="16">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5" t="s">
        <v>11</v>
      </c>
      <c r="F248" s="16">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5" t="s">
        <v>11</v>
      </c>
      <c r="F249" s="16">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5" t="s">
        <v>11</v>
      </c>
      <c r="F250" s="16">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5" t="s">
        <v>9</v>
      </c>
      <c r="F251" s="16">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5" t="s">
        <v>10</v>
      </c>
      <c r="F252" s="16">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5" t="s">
        <v>9</v>
      </c>
      <c r="F253" s="16">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5" t="s">
        <v>10</v>
      </c>
      <c r="F254" s="16">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5" t="s">
        <v>6</v>
      </c>
      <c r="F255" s="16">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5" t="s">
        <v>11</v>
      </c>
      <c r="F256" s="16">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5" t="s">
        <v>6</v>
      </c>
      <c r="F257" s="16">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5" t="s">
        <v>6</v>
      </c>
      <c r="F258" s="16">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5" t="s">
        <v>11</v>
      </c>
      <c r="F259" s="16">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5" t="s">
        <v>9</v>
      </c>
      <c r="F260" s="16">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5" t="s">
        <v>13</v>
      </c>
      <c r="F261" s="16">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5" t="s">
        <v>10</v>
      </c>
      <c r="F262" s="16">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5" t="s">
        <v>11</v>
      </c>
      <c r="F263" s="16">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5" t="s">
        <v>6</v>
      </c>
      <c r="F264" s="16">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5" t="s">
        <v>9</v>
      </c>
      <c r="F265" s="16">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5" t="s">
        <v>6</v>
      </c>
      <c r="F266" s="16">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5" t="s">
        <v>13</v>
      </c>
      <c r="F267" s="16">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5" t="s">
        <v>9</v>
      </c>
      <c r="F268" s="16">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5" t="s">
        <v>9</v>
      </c>
      <c r="F269" s="16">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5" t="s">
        <v>13</v>
      </c>
      <c r="F270" s="16">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5" t="s">
        <v>13</v>
      </c>
      <c r="F271" s="16">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5" t="s">
        <v>6</v>
      </c>
      <c r="F272" s="16">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5" t="s">
        <v>10</v>
      </c>
      <c r="F273" s="16">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5" t="s">
        <v>9</v>
      </c>
      <c r="F274" s="16">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5" t="s">
        <v>6</v>
      </c>
      <c r="F275" s="16">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5" t="s">
        <v>10</v>
      </c>
      <c r="F276" s="16">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5" t="s">
        <v>6</v>
      </c>
      <c r="F277" s="16">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5" t="s">
        <v>9</v>
      </c>
      <c r="F278" s="16">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5" t="s">
        <v>10</v>
      </c>
      <c r="F279" s="16">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5" t="s">
        <v>11</v>
      </c>
      <c r="F280" s="16">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5" t="s">
        <v>10</v>
      </c>
      <c r="F281" s="16">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5" t="s">
        <v>13</v>
      </c>
      <c r="F282" s="16">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5" t="s">
        <v>9</v>
      </c>
      <c r="F283" s="16">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5" t="s">
        <v>10</v>
      </c>
      <c r="F284" s="16">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5" t="s">
        <v>13</v>
      </c>
      <c r="F285" s="16">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5" t="s">
        <v>11</v>
      </c>
      <c r="F286" s="16">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5" t="s">
        <v>9</v>
      </c>
      <c r="F287" s="16">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5" t="s">
        <v>6</v>
      </c>
      <c r="F288" s="16">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5" t="s">
        <v>13</v>
      </c>
      <c r="F289" s="16">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5" t="s">
        <v>11</v>
      </c>
      <c r="F290" s="16">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5" t="s">
        <v>9</v>
      </c>
      <c r="F291" s="16">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5" t="s">
        <v>9</v>
      </c>
      <c r="F292" s="16">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5" t="s">
        <v>9</v>
      </c>
      <c r="F293" s="16">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5" t="s">
        <v>11</v>
      </c>
      <c r="F294" s="16">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5" t="s">
        <v>6</v>
      </c>
      <c r="F295" s="16">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5" t="s">
        <v>9</v>
      </c>
      <c r="F296" s="16">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5" t="s">
        <v>10</v>
      </c>
      <c r="F297" s="16">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5" t="s">
        <v>13</v>
      </c>
      <c r="F298" s="16">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5" t="s">
        <v>10</v>
      </c>
      <c r="F299" s="16">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5" t="s">
        <v>6</v>
      </c>
      <c r="F300" s="16">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5" t="s">
        <v>10</v>
      </c>
      <c r="F301" s="16">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5" t="s">
        <v>11</v>
      </c>
      <c r="F302" s="16">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5" t="s">
        <v>10</v>
      </c>
      <c r="F303" s="16">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5" t="s">
        <v>9</v>
      </c>
      <c r="F304" s="16">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5" t="s">
        <v>11</v>
      </c>
      <c r="F305" s="16">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5" t="s">
        <v>9</v>
      </c>
      <c r="F306" s="16">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5" t="s">
        <v>11</v>
      </c>
      <c r="F307" s="16">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5" t="s">
        <v>9</v>
      </c>
      <c r="F308" s="16">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5" t="s">
        <v>10</v>
      </c>
      <c r="F309" s="16">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5" t="s">
        <v>6</v>
      </c>
      <c r="F310" s="16">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5" t="s">
        <v>13</v>
      </c>
      <c r="F311" s="16">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5" t="s">
        <v>13</v>
      </c>
      <c r="F312" s="16">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5" t="s">
        <v>6</v>
      </c>
      <c r="F313" s="16">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5" t="s">
        <v>9</v>
      </c>
      <c r="F314" s="16">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5" t="s">
        <v>9</v>
      </c>
      <c r="F315" s="16">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5" t="s">
        <v>11</v>
      </c>
      <c r="F316" s="16">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5" t="s">
        <v>9</v>
      </c>
      <c r="F317" s="16">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5" t="s">
        <v>6</v>
      </c>
      <c r="F318" s="16">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5" t="s">
        <v>11</v>
      </c>
      <c r="F319" s="16">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5" t="s">
        <v>9</v>
      </c>
      <c r="F320" s="16">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5" t="s">
        <v>9</v>
      </c>
      <c r="F321" s="16">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5" t="s">
        <v>10</v>
      </c>
      <c r="F322" s="16">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5" t="s">
        <v>6</v>
      </c>
      <c r="F323" s="16">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5" t="s">
        <v>6</v>
      </c>
      <c r="F324" s="16">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5" t="s">
        <v>6</v>
      </c>
      <c r="F325" s="16">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5" t="s">
        <v>10</v>
      </c>
      <c r="F326" s="16">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5" t="s">
        <v>9</v>
      </c>
      <c r="F327" s="16">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5" t="s">
        <v>9</v>
      </c>
      <c r="F328" s="16">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5" t="s">
        <v>9</v>
      </c>
      <c r="F329" s="16">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5" t="s">
        <v>13</v>
      </c>
      <c r="F330" s="16">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5" t="s">
        <v>6</v>
      </c>
      <c r="F331" s="16">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5" t="s">
        <v>11</v>
      </c>
      <c r="F332" s="16">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5" t="s">
        <v>13</v>
      </c>
      <c r="F333" s="16">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5" t="s">
        <v>10</v>
      </c>
      <c r="F334" s="16">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5" t="s">
        <v>6</v>
      </c>
      <c r="F335" s="16">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5" t="s">
        <v>10</v>
      </c>
      <c r="F336" s="16">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5" t="s">
        <v>9</v>
      </c>
      <c r="F337" s="16">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5" t="s">
        <v>13</v>
      </c>
      <c r="F338" s="16">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5" t="s">
        <v>9</v>
      </c>
      <c r="F339" s="16">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5" t="s">
        <v>9</v>
      </c>
      <c r="F340" s="16">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5" t="s">
        <v>9</v>
      </c>
      <c r="F341" s="16">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5" t="s">
        <v>9</v>
      </c>
      <c r="F342" s="16">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5" t="s">
        <v>10</v>
      </c>
      <c r="F343" s="16">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5" t="s">
        <v>13</v>
      </c>
      <c r="F344" s="16">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5" t="s">
        <v>13</v>
      </c>
      <c r="F345" s="16">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5" t="s">
        <v>9</v>
      </c>
      <c r="F346" s="16">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5" t="s">
        <v>13</v>
      </c>
      <c r="F347" s="16">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5" t="s">
        <v>13</v>
      </c>
      <c r="F348" s="16">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5" t="s">
        <v>13</v>
      </c>
      <c r="F349" s="16">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5" t="s">
        <v>10</v>
      </c>
      <c r="F350" s="16">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5" t="s">
        <v>6</v>
      </c>
      <c r="F351" s="16">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5" t="s">
        <v>10</v>
      </c>
      <c r="F352" s="16">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5" t="s">
        <v>9</v>
      </c>
      <c r="F353" s="16">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5" t="s">
        <v>9</v>
      </c>
      <c r="F354" s="16">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5" t="s">
        <v>9</v>
      </c>
      <c r="F355" s="16">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5" t="s">
        <v>13</v>
      </c>
      <c r="F356" s="16">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5" t="s">
        <v>13</v>
      </c>
      <c r="F357" s="16">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5" t="s">
        <v>9</v>
      </c>
      <c r="F358" s="16">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5" t="s">
        <v>9</v>
      </c>
      <c r="F359" s="16">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5" t="s">
        <v>10</v>
      </c>
      <c r="F360" s="16">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5" t="s">
        <v>10</v>
      </c>
      <c r="F361" s="16">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5" t="s">
        <v>11</v>
      </c>
      <c r="F362" s="16">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5" t="s">
        <v>9</v>
      </c>
      <c r="F363" s="16">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5" t="s">
        <v>10</v>
      </c>
      <c r="F364" s="16">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5" t="s">
        <v>11</v>
      </c>
      <c r="F365" s="16">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5" t="s">
        <v>6</v>
      </c>
      <c r="F366" s="16">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5" t="s">
        <v>6</v>
      </c>
      <c r="F367" s="16">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5" t="s">
        <v>11</v>
      </c>
      <c r="F368" s="16">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5" t="s">
        <v>6</v>
      </c>
      <c r="F369" s="16">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5" t="s">
        <v>6</v>
      </c>
      <c r="F370" s="16">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5" t="s">
        <v>13</v>
      </c>
      <c r="F371" s="16">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5" t="s">
        <v>11</v>
      </c>
      <c r="F372" s="16">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5" t="s">
        <v>9</v>
      </c>
      <c r="F373" s="16">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5" t="s">
        <v>11</v>
      </c>
      <c r="F374" s="16">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5" t="s">
        <v>13</v>
      </c>
      <c r="F375" s="16">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5" t="s">
        <v>10</v>
      </c>
      <c r="F376" s="16">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5" t="s">
        <v>6</v>
      </c>
      <c r="F377" s="16">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5" t="s">
        <v>9</v>
      </c>
      <c r="F378" s="16">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5" t="s">
        <v>9</v>
      </c>
      <c r="F379" s="16">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5" t="s">
        <v>10</v>
      </c>
      <c r="F380" s="16">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5" t="s">
        <v>10</v>
      </c>
      <c r="F381" s="16">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5" t="s">
        <v>11</v>
      </c>
      <c r="F382" s="16">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5" t="s">
        <v>11</v>
      </c>
      <c r="F383" s="16">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5" t="s">
        <v>9</v>
      </c>
      <c r="F384" s="16">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5" t="s">
        <v>6</v>
      </c>
      <c r="F385" s="16">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5" t="s">
        <v>11</v>
      </c>
      <c r="F386" s="16">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5" t="s">
        <v>6</v>
      </c>
      <c r="F387" s="16">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5" t="s">
        <v>9</v>
      </c>
      <c r="F388" s="16">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5" t="s">
        <v>11</v>
      </c>
      <c r="F389" s="16">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5" t="s">
        <v>11</v>
      </c>
      <c r="F390" s="16">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5" t="s">
        <v>11</v>
      </c>
      <c r="F391" s="16">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5" t="s">
        <v>10</v>
      </c>
      <c r="F392" s="16">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5" t="s">
        <v>9</v>
      </c>
      <c r="F393" s="16">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5" t="s">
        <v>10</v>
      </c>
      <c r="F394" s="16">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5" t="s">
        <v>6</v>
      </c>
      <c r="F395" s="16">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5" t="s">
        <v>13</v>
      </c>
      <c r="F396" s="16">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5" t="s">
        <v>11</v>
      </c>
      <c r="F397" s="16">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5" t="s">
        <v>6</v>
      </c>
      <c r="F398" s="16">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5" t="s">
        <v>11</v>
      </c>
      <c r="F399" s="16">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5" t="s">
        <v>9</v>
      </c>
      <c r="F400" s="16">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5" t="s">
        <v>11</v>
      </c>
      <c r="F401" s="16">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5" t="s">
        <v>11</v>
      </c>
      <c r="F402" s="16">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5" t="s">
        <v>13</v>
      </c>
      <c r="F403" s="16">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5" t="s">
        <v>10</v>
      </c>
      <c r="F404" s="16">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5" t="s">
        <v>11</v>
      </c>
      <c r="F405" s="16">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5" t="s">
        <v>13</v>
      </c>
      <c r="F406" s="16">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5" t="s">
        <v>11</v>
      </c>
      <c r="F407" s="16">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5" t="s">
        <v>11</v>
      </c>
      <c r="F408" s="16">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5" t="s">
        <v>6</v>
      </c>
      <c r="F409" s="16">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5" t="s">
        <v>9</v>
      </c>
      <c r="F410" s="16">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5" t="s">
        <v>11</v>
      </c>
      <c r="F411" s="16">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5" t="s">
        <v>9</v>
      </c>
      <c r="F412" s="16">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5" t="s">
        <v>13</v>
      </c>
      <c r="F413" s="16">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5" t="s">
        <v>6</v>
      </c>
      <c r="F414" s="16">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5" t="s">
        <v>6</v>
      </c>
      <c r="F415" s="16">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5" t="s">
        <v>11</v>
      </c>
      <c r="F416" s="16">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5" t="s">
        <v>6</v>
      </c>
      <c r="F417" s="16">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5" t="s">
        <v>6</v>
      </c>
      <c r="F418" s="16">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5" t="s">
        <v>9</v>
      </c>
      <c r="F419" s="16">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5" t="s">
        <v>9</v>
      </c>
      <c r="F420" s="16">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5" t="s">
        <v>9</v>
      </c>
      <c r="F421" s="16">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5" t="s">
        <v>9</v>
      </c>
      <c r="F422" s="16">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5" t="s">
        <v>11</v>
      </c>
      <c r="F423" s="16">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5" t="s">
        <v>10</v>
      </c>
      <c r="F424" s="16">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5" t="s">
        <v>11</v>
      </c>
      <c r="F425" s="16">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5" t="s">
        <v>11</v>
      </c>
      <c r="F426" s="16">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5" t="s">
        <v>9</v>
      </c>
      <c r="F427" s="16">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5" t="s">
        <v>13</v>
      </c>
      <c r="F428" s="16">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5" t="s">
        <v>10</v>
      </c>
      <c r="F429" s="16">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5" t="s">
        <v>10</v>
      </c>
      <c r="F430" s="16">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5" t="s">
        <v>13</v>
      </c>
      <c r="F431" s="16">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5" t="s">
        <v>9</v>
      </c>
      <c r="F432" s="16">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5" t="s">
        <v>6</v>
      </c>
      <c r="F433" s="16">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5" t="s">
        <v>9</v>
      </c>
      <c r="F434" s="16">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5" t="s">
        <v>13</v>
      </c>
      <c r="F435" s="16">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5" t="s">
        <v>11</v>
      </c>
      <c r="F436" s="16">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5" t="s">
        <v>9</v>
      </c>
      <c r="F437" s="16">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5" t="s">
        <v>13</v>
      </c>
      <c r="F438" s="16">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5" t="s">
        <v>13</v>
      </c>
      <c r="F439" s="16">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5" t="s">
        <v>9</v>
      </c>
      <c r="F440" s="16">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5" t="s">
        <v>11</v>
      </c>
      <c r="F441" s="16">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5" t="s">
        <v>6</v>
      </c>
      <c r="F442" s="16">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5" t="s">
        <v>10</v>
      </c>
      <c r="F443" s="16">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5" t="s">
        <v>9</v>
      </c>
      <c r="F444" s="16">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5" t="s">
        <v>11</v>
      </c>
      <c r="F445" s="16">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5" t="s">
        <v>13</v>
      </c>
      <c r="F446" s="16">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5" t="s">
        <v>6</v>
      </c>
      <c r="F447" s="16">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5" t="s">
        <v>13</v>
      </c>
      <c r="F448" s="16">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5" t="s">
        <v>9</v>
      </c>
      <c r="F449" s="16">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5" t="s">
        <v>6</v>
      </c>
      <c r="F450" s="16">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5" t="s">
        <v>6</v>
      </c>
      <c r="F451" s="16">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5" t="s">
        <v>6</v>
      </c>
      <c r="F452" s="16">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5" t="s">
        <v>11</v>
      </c>
      <c r="F453" s="16">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5" t="s">
        <v>9</v>
      </c>
      <c r="F454" s="16">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5" t="s">
        <v>13</v>
      </c>
      <c r="F455" s="16">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5" t="s">
        <v>13</v>
      </c>
      <c r="F456" s="16">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5" t="s">
        <v>13</v>
      </c>
      <c r="F457" s="16">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5" t="s">
        <v>13</v>
      </c>
      <c r="F458" s="16">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5" t="s">
        <v>9</v>
      </c>
      <c r="F459" s="16">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5" t="s">
        <v>11</v>
      </c>
      <c r="F460" s="16">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5" t="s">
        <v>6</v>
      </c>
      <c r="F461" s="16">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5" t="s">
        <v>10</v>
      </c>
      <c r="F462" s="16">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5" t="s">
        <v>11</v>
      </c>
      <c r="F463" s="16">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5" t="s">
        <v>6</v>
      </c>
      <c r="F464" s="16">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5" t="s">
        <v>9</v>
      </c>
      <c r="F465" s="16">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5" t="s">
        <v>13</v>
      </c>
      <c r="F466" s="16">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5" t="s">
        <v>11</v>
      </c>
      <c r="F467" s="16">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5" t="s">
        <v>11</v>
      </c>
      <c r="F468" s="16">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5" t="s">
        <v>13</v>
      </c>
      <c r="F469" s="16">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5" t="s">
        <v>6</v>
      </c>
      <c r="F470" s="16">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5" t="s">
        <v>9</v>
      </c>
      <c r="F471" s="16">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5" t="s">
        <v>11</v>
      </c>
      <c r="F472" s="16">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5" t="s">
        <v>13</v>
      </c>
      <c r="F473" s="16">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5" t="s">
        <v>13</v>
      </c>
      <c r="F474" s="16">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5" t="s">
        <v>11</v>
      </c>
      <c r="F475" s="16">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5" t="s">
        <v>13</v>
      </c>
      <c r="F476" s="16">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5" t="s">
        <v>9</v>
      </c>
      <c r="F477" s="16">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5" t="s">
        <v>13</v>
      </c>
      <c r="F478" s="16">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5" t="s">
        <v>11</v>
      </c>
      <c r="F479" s="16">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5" t="s">
        <v>9</v>
      </c>
      <c r="F480" s="16">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5" t="s">
        <v>13</v>
      </c>
      <c r="F481" s="16">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5" t="s">
        <v>6</v>
      </c>
      <c r="F482" s="16">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5" t="s">
        <v>6</v>
      </c>
      <c r="F483" s="16">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5" t="s">
        <v>11</v>
      </c>
      <c r="F484" s="16">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5" t="s">
        <v>6</v>
      </c>
      <c r="F485" s="16">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5" t="s">
        <v>6</v>
      </c>
      <c r="F486" s="16">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5" t="s">
        <v>11</v>
      </c>
      <c r="F487" s="16">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5" t="s">
        <v>13</v>
      </c>
      <c r="F488" s="16">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5" t="s">
        <v>6</v>
      </c>
      <c r="F489" s="16">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5" t="s">
        <v>6</v>
      </c>
      <c r="F490" s="16">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5" t="s">
        <v>11</v>
      </c>
      <c r="F491" s="16">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5" t="s">
        <v>13</v>
      </c>
      <c r="F492" s="16">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5" t="s">
        <v>13</v>
      </c>
      <c r="F493" s="16">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5" t="s">
        <v>13</v>
      </c>
      <c r="F494" s="16">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5" t="s">
        <v>10</v>
      </c>
      <c r="F495" s="16">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5" t="s">
        <v>6</v>
      </c>
      <c r="F496" s="16">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5" t="s">
        <v>9</v>
      </c>
      <c r="F497" s="16">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5" t="s">
        <v>13</v>
      </c>
      <c r="F498" s="16">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5" t="s">
        <v>6</v>
      </c>
      <c r="F499" s="16">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5" t="s">
        <v>6</v>
      </c>
      <c r="F500" s="16">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5" t="s">
        <v>6</v>
      </c>
      <c r="F501" s="16">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5" t="s">
        <v>6</v>
      </c>
      <c r="F502" s="16">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5" t="s">
        <v>13</v>
      </c>
      <c r="F503" s="16">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5" t="s">
        <v>11</v>
      </c>
      <c r="F504" s="16">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5" t="s">
        <v>10</v>
      </c>
      <c r="F505" s="16">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5" t="s">
        <v>10</v>
      </c>
      <c r="F506" s="16">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5" t="s">
        <v>9</v>
      </c>
      <c r="F507" s="16">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5" t="s">
        <v>11</v>
      </c>
      <c r="F508" s="16">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5" t="s">
        <v>13</v>
      </c>
      <c r="F509" s="16">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5" t="s">
        <v>13</v>
      </c>
      <c r="F510" s="16">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5" t="s">
        <v>11</v>
      </c>
      <c r="F511" s="16">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5" t="s">
        <v>10</v>
      </c>
      <c r="F512" s="16">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5" t="s">
        <v>6</v>
      </c>
      <c r="F513" s="16">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5" t="s">
        <v>13</v>
      </c>
      <c r="F514" s="16">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5" t="s">
        <v>10</v>
      </c>
      <c r="F515" s="16">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5" t="s">
        <v>11</v>
      </c>
      <c r="F516" s="16">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5" t="s">
        <v>6</v>
      </c>
      <c r="F517" s="16">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5" t="s">
        <v>9</v>
      </c>
      <c r="F518" s="16">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5" t="s">
        <v>10</v>
      </c>
      <c r="F519" s="16">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5" t="s">
        <v>6</v>
      </c>
      <c r="F520" s="16">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5" t="s">
        <v>6</v>
      </c>
      <c r="F521" s="16">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5" t="s">
        <v>9</v>
      </c>
      <c r="F522" s="16">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5" t="s">
        <v>9</v>
      </c>
      <c r="F523" s="16">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5" t="s">
        <v>9</v>
      </c>
      <c r="F524" s="16">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5" t="s">
        <v>6</v>
      </c>
      <c r="F525" s="16">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5" t="s">
        <v>11</v>
      </c>
      <c r="F526" s="16">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5" t="s">
        <v>6</v>
      </c>
      <c r="F527" s="16">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5" t="s">
        <v>9</v>
      </c>
      <c r="F528" s="16">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5" t="s">
        <v>6</v>
      </c>
      <c r="F529" s="16">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5" t="s">
        <v>11</v>
      </c>
      <c r="F530" s="16">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5" t="s">
        <v>11</v>
      </c>
      <c r="F531" s="16">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5" t="s">
        <v>9</v>
      </c>
      <c r="F532" s="16">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5" t="s">
        <v>9</v>
      </c>
      <c r="F533" s="16">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5" t="s">
        <v>6</v>
      </c>
      <c r="F534" s="16">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5" t="s">
        <v>11</v>
      </c>
      <c r="F535" s="16">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5" t="s">
        <v>6</v>
      </c>
      <c r="F536" s="16">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5" t="s">
        <v>10</v>
      </c>
      <c r="F537" s="16">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5" t="s">
        <v>6</v>
      </c>
      <c r="F538" s="16">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5" t="s">
        <v>6</v>
      </c>
      <c r="F539" s="16">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5" t="s">
        <v>11</v>
      </c>
      <c r="F540" s="16">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5" t="s">
        <v>13</v>
      </c>
      <c r="F541" s="16">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5" t="s">
        <v>10</v>
      </c>
      <c r="F542" s="16">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5" t="s">
        <v>11</v>
      </c>
      <c r="F543" s="16">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5" t="s">
        <v>6</v>
      </c>
      <c r="F544" s="16">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5" t="s">
        <v>10</v>
      </c>
      <c r="F545" s="16">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5" t="s">
        <v>10</v>
      </c>
      <c r="F546" s="16">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5" t="s">
        <v>11</v>
      </c>
      <c r="F547" s="16">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5" t="s">
        <v>9</v>
      </c>
      <c r="F548" s="16">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5" t="s">
        <v>6</v>
      </c>
      <c r="F549" s="16">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5" t="s">
        <v>13</v>
      </c>
      <c r="F550" s="16">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5" t="s">
        <v>6</v>
      </c>
      <c r="F551" s="16">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5" t="s">
        <v>11</v>
      </c>
      <c r="F552" s="16">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5" t="s">
        <v>10</v>
      </c>
      <c r="F553" s="16">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5" t="s">
        <v>11</v>
      </c>
      <c r="F554" s="16">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5" t="s">
        <v>6</v>
      </c>
      <c r="F555" s="16">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5" t="s">
        <v>13</v>
      </c>
      <c r="F556" s="16">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5" t="s">
        <v>6</v>
      </c>
      <c r="F557" s="16">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5" t="s">
        <v>13</v>
      </c>
      <c r="F558" s="16">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5" t="s">
        <v>6</v>
      </c>
      <c r="F559" s="16">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5" t="s">
        <v>11</v>
      </c>
      <c r="F560" s="16">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5" t="s">
        <v>13</v>
      </c>
      <c r="F561" s="16">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5" t="s">
        <v>9</v>
      </c>
      <c r="F562" s="16">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5" t="s">
        <v>9</v>
      </c>
      <c r="F563" s="16">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5" t="s">
        <v>6</v>
      </c>
      <c r="F564" s="16">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5" t="s">
        <v>11</v>
      </c>
      <c r="F565" s="16">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5" t="s">
        <v>10</v>
      </c>
      <c r="F566" s="16">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5" t="s">
        <v>10</v>
      </c>
      <c r="F567" s="16">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5" t="s">
        <v>11</v>
      </c>
      <c r="F568" s="16">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5" t="s">
        <v>9</v>
      </c>
      <c r="F569" s="16">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5" t="s">
        <v>10</v>
      </c>
      <c r="F570" s="16">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5" t="s">
        <v>6</v>
      </c>
      <c r="F571" s="16">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5" t="s">
        <v>10</v>
      </c>
      <c r="F572" s="16">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5" t="s">
        <v>13</v>
      </c>
      <c r="F573" s="16">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5" t="s">
        <v>11</v>
      </c>
      <c r="F574" s="16">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5" t="s">
        <v>6</v>
      </c>
      <c r="F575" s="16">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5" t="s">
        <v>11</v>
      </c>
      <c r="F576" s="16">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5" t="s">
        <v>9</v>
      </c>
      <c r="F577" s="16">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5" t="s">
        <v>10</v>
      </c>
      <c r="F578" s="16">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5" t="s">
        <v>6</v>
      </c>
      <c r="F579" s="16">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5" t="s">
        <v>11</v>
      </c>
      <c r="F580" s="16">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5" t="s">
        <v>13</v>
      </c>
      <c r="F581" s="16">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5" t="s">
        <v>9</v>
      </c>
      <c r="F582" s="16">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5" t="s">
        <v>13</v>
      </c>
      <c r="F583" s="16">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5" t="s">
        <v>9</v>
      </c>
      <c r="F584" s="16">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5" t="s">
        <v>10</v>
      </c>
      <c r="F585" s="16">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5" t="s">
        <v>10</v>
      </c>
      <c r="F586" s="16">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5" t="s">
        <v>13</v>
      </c>
      <c r="F587" s="16">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5" t="s">
        <v>13</v>
      </c>
      <c r="F588" s="16">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5" t="s">
        <v>13</v>
      </c>
      <c r="F589" s="16">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5" t="s">
        <v>10</v>
      </c>
      <c r="F590" s="16">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5" t="s">
        <v>13</v>
      </c>
      <c r="F591" s="16">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5" t="s">
        <v>13</v>
      </c>
      <c r="F592" s="16">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5" t="s">
        <v>10</v>
      </c>
      <c r="F593" s="16">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5" t="s">
        <v>11</v>
      </c>
      <c r="F594" s="16">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5" t="s">
        <v>9</v>
      </c>
      <c r="F595" s="16">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5" t="s">
        <v>9</v>
      </c>
      <c r="F596" s="16">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5" t="s">
        <v>13</v>
      </c>
      <c r="F597" s="16">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5" t="s">
        <v>6</v>
      </c>
      <c r="F598" s="16">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5" t="s">
        <v>10</v>
      </c>
      <c r="F599" s="16">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5" t="s">
        <v>13</v>
      </c>
      <c r="F600" s="16">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5" t="s">
        <v>13</v>
      </c>
      <c r="F601" s="16">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5" t="s">
        <v>10</v>
      </c>
      <c r="F602" s="16">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5" t="s">
        <v>11</v>
      </c>
      <c r="F603" s="16">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5" t="s">
        <v>9</v>
      </c>
      <c r="F604" s="16">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5" t="s">
        <v>13</v>
      </c>
      <c r="F605" s="16">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5" t="s">
        <v>11</v>
      </c>
      <c r="F606" s="16">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5" t="s">
        <v>11</v>
      </c>
      <c r="F607" s="16">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5" t="s">
        <v>10</v>
      </c>
      <c r="F608" s="16">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5" t="s">
        <v>10</v>
      </c>
      <c r="F609" s="16">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5" t="s">
        <v>13</v>
      </c>
      <c r="F610" s="16">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5" t="s">
        <v>6</v>
      </c>
      <c r="F611" s="16">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5" t="s">
        <v>6</v>
      </c>
      <c r="F612" s="16">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5" t="s">
        <v>6</v>
      </c>
      <c r="F613" s="16">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5" t="s">
        <v>11</v>
      </c>
      <c r="F614" s="16">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5" t="s">
        <v>9</v>
      </c>
      <c r="F615" s="16">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5" t="s">
        <v>9</v>
      </c>
      <c r="F616" s="16">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5" t="s">
        <v>6</v>
      </c>
      <c r="F617" s="16">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5" t="s">
        <v>13</v>
      </c>
      <c r="F618" s="16">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5" t="s">
        <v>9</v>
      </c>
      <c r="F619" s="16">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5" t="s">
        <v>11</v>
      </c>
      <c r="F620" s="16">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5" t="s">
        <v>10</v>
      </c>
      <c r="F621" s="16">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5" t="s">
        <v>11</v>
      </c>
      <c r="F622" s="16">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5" t="s">
        <v>13</v>
      </c>
      <c r="F623" s="16">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5" t="s">
        <v>11</v>
      </c>
      <c r="F624" s="16">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5" t="s">
        <v>11</v>
      </c>
      <c r="F625" s="16">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5" t="s">
        <v>11</v>
      </c>
      <c r="F626" s="16">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5" t="s">
        <v>13</v>
      </c>
      <c r="F627" s="16">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5" t="s">
        <v>13</v>
      </c>
      <c r="F628" s="16">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5" t="s">
        <v>6</v>
      </c>
      <c r="F629" s="16">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5" t="s">
        <v>6</v>
      </c>
      <c r="F630" s="16">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5" t="s">
        <v>10</v>
      </c>
      <c r="F631" s="16">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5" t="s">
        <v>11</v>
      </c>
      <c r="F632" s="16">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5" t="s">
        <v>13</v>
      </c>
      <c r="F633" s="16">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5" t="s">
        <v>9</v>
      </c>
      <c r="F634" s="16">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5" t="s">
        <v>13</v>
      </c>
      <c r="F635" s="16">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5" t="s">
        <v>11</v>
      </c>
      <c r="F636" s="16">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5" t="s">
        <v>11</v>
      </c>
      <c r="F637" s="16">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5" t="s">
        <v>11</v>
      </c>
      <c r="F638" s="16">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5" t="s">
        <v>10</v>
      </c>
      <c r="F639" s="16">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5" t="s">
        <v>9</v>
      </c>
      <c r="F640" s="16">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5" t="s">
        <v>6</v>
      </c>
      <c r="F641" s="16">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5" t="s">
        <v>6</v>
      </c>
      <c r="F642" s="16">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5" t="s">
        <v>6</v>
      </c>
      <c r="F643" s="16">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5" t="s">
        <v>10</v>
      </c>
      <c r="F644" s="16">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5" t="s">
        <v>10</v>
      </c>
      <c r="F645" s="16">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5" t="s">
        <v>13</v>
      </c>
      <c r="F646" s="16">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5" t="s">
        <v>13</v>
      </c>
      <c r="F647" s="16">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5" t="s">
        <v>13</v>
      </c>
      <c r="F648" s="16">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5" t="s">
        <v>13</v>
      </c>
      <c r="F649" s="16">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5" t="s">
        <v>6</v>
      </c>
      <c r="F650" s="16">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5" t="s">
        <v>11</v>
      </c>
      <c r="F651" s="16">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5" t="s">
        <v>10</v>
      </c>
      <c r="F652" s="16">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5" t="s">
        <v>9</v>
      </c>
      <c r="F653" s="16">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5" t="s">
        <v>10</v>
      </c>
      <c r="F654" s="16">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5" t="s">
        <v>6</v>
      </c>
      <c r="F655" s="16">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5" t="s">
        <v>9</v>
      </c>
      <c r="F656" s="16">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5" t="s">
        <v>6</v>
      </c>
      <c r="F657" s="16">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5" t="s">
        <v>9</v>
      </c>
      <c r="F658" s="16">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5" t="s">
        <v>13</v>
      </c>
      <c r="F659" s="16">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5" t="s">
        <v>9</v>
      </c>
      <c r="F660" s="16">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5" t="s">
        <v>13</v>
      </c>
      <c r="F661" s="16">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5" t="s">
        <v>11</v>
      </c>
      <c r="F662" s="16">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5" t="s">
        <v>11</v>
      </c>
      <c r="F663" s="16">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5" t="s">
        <v>6</v>
      </c>
      <c r="F664" s="16">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5" t="s">
        <v>9</v>
      </c>
      <c r="F665" s="16">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5" t="s">
        <v>9</v>
      </c>
      <c r="F666" s="16">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5" t="s">
        <v>10</v>
      </c>
      <c r="F667" s="16">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5" t="s">
        <v>6</v>
      </c>
      <c r="F668" s="16">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5" t="s">
        <v>6</v>
      </c>
      <c r="F669" s="16">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5" t="s">
        <v>6</v>
      </c>
      <c r="F670" s="16">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5" t="s">
        <v>13</v>
      </c>
      <c r="F671" s="16">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5" t="s">
        <v>9</v>
      </c>
      <c r="F672" s="16">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5" t="s">
        <v>10</v>
      </c>
      <c r="F673" s="16">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5" t="s">
        <v>9</v>
      </c>
      <c r="F674" s="16">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5" t="s">
        <v>13</v>
      </c>
      <c r="F675" s="16">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5" t="s">
        <v>10</v>
      </c>
      <c r="F676" s="16">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5" t="s">
        <v>13</v>
      </c>
      <c r="F677" s="16">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5" t="s">
        <v>11</v>
      </c>
      <c r="F678" s="16">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5" t="s">
        <v>11</v>
      </c>
      <c r="F679" s="16">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5" t="s">
        <v>10</v>
      </c>
      <c r="F680" s="16">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5" t="s">
        <v>11</v>
      </c>
      <c r="F681" s="16">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5" t="s">
        <v>6</v>
      </c>
      <c r="F682" s="16">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5" t="s">
        <v>9</v>
      </c>
      <c r="F683" s="16">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5" t="s">
        <v>13</v>
      </c>
      <c r="F684" s="16">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5" t="s">
        <v>13</v>
      </c>
      <c r="F685" s="16">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5" t="s">
        <v>13</v>
      </c>
      <c r="F686" s="16">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5" t="s">
        <v>9</v>
      </c>
      <c r="F687" s="16">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5" t="s">
        <v>11</v>
      </c>
      <c r="F688" s="16">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5" t="s">
        <v>13</v>
      </c>
      <c r="F689" s="16">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5" t="s">
        <v>9</v>
      </c>
      <c r="F690" s="16">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5" t="s">
        <v>9</v>
      </c>
      <c r="F691" s="16">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5" t="s">
        <v>6</v>
      </c>
      <c r="F692" s="16">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5" t="s">
        <v>13</v>
      </c>
      <c r="F693" s="16">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5" t="s">
        <v>11</v>
      </c>
      <c r="F694" s="16">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5" t="s">
        <v>6</v>
      </c>
      <c r="F695" s="16">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5" t="s">
        <v>13</v>
      </c>
      <c r="F696" s="16">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5" t="s">
        <v>13</v>
      </c>
      <c r="F697" s="16">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5" t="s">
        <v>6</v>
      </c>
      <c r="F698" s="16">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5" t="s">
        <v>10</v>
      </c>
      <c r="F699" s="16">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5" t="s">
        <v>6</v>
      </c>
      <c r="F700" s="16">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5" t="s">
        <v>9</v>
      </c>
      <c r="F701" s="16">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5" t="s">
        <v>10</v>
      </c>
      <c r="F702" s="16">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5" t="s">
        <v>9</v>
      </c>
      <c r="F703" s="16">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5" t="s">
        <v>10</v>
      </c>
      <c r="F704" s="16">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5" t="s">
        <v>6</v>
      </c>
      <c r="F705" s="16">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5" t="s">
        <v>13</v>
      </c>
      <c r="F706" s="16">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5" t="s">
        <v>9</v>
      </c>
      <c r="F707" s="16">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5" t="s">
        <v>9</v>
      </c>
      <c r="F708" s="16">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5" t="s">
        <v>10</v>
      </c>
      <c r="F709" s="16">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5" t="s">
        <v>11</v>
      </c>
      <c r="F710" s="16">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5" t="s">
        <v>13</v>
      </c>
      <c r="F711" s="16">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5" t="s">
        <v>13</v>
      </c>
      <c r="F712" s="16">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5" t="s">
        <v>10</v>
      </c>
      <c r="F713" s="16">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5" t="s">
        <v>13</v>
      </c>
      <c r="F714" s="16">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5" t="s">
        <v>10</v>
      </c>
      <c r="F715" s="16">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5" t="s">
        <v>6</v>
      </c>
      <c r="F716" s="16">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5" t="s">
        <v>6</v>
      </c>
      <c r="F717" s="16">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5" t="s">
        <v>11</v>
      </c>
      <c r="F718" s="16">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5" t="s">
        <v>9</v>
      </c>
      <c r="F719" s="16">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5" t="s">
        <v>6</v>
      </c>
      <c r="F720" s="16">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5" t="s">
        <v>10</v>
      </c>
      <c r="F721" s="16">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5" t="s">
        <v>6</v>
      </c>
      <c r="F722" s="16">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5" t="s">
        <v>13</v>
      </c>
      <c r="F723" s="16">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5" t="s">
        <v>9</v>
      </c>
      <c r="F724" s="16">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5" t="s">
        <v>11</v>
      </c>
      <c r="F725" s="16">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5" t="s">
        <v>10</v>
      </c>
      <c r="F726" s="16">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5" t="s">
        <v>6</v>
      </c>
      <c r="F727" s="16">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5" t="s">
        <v>9</v>
      </c>
      <c r="F728" s="16">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5" t="s">
        <v>9</v>
      </c>
      <c r="F729" s="16">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5" t="s">
        <v>9</v>
      </c>
      <c r="F730" s="16">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5" t="s">
        <v>6</v>
      </c>
      <c r="F731" s="16">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5" t="s">
        <v>9</v>
      </c>
      <c r="F732" s="16">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5" t="s">
        <v>6</v>
      </c>
      <c r="F733" s="16">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5" t="s">
        <v>6</v>
      </c>
      <c r="F734" s="16">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5" t="s">
        <v>11</v>
      </c>
      <c r="F735" s="16">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5" t="s">
        <v>11</v>
      </c>
      <c r="F736" s="16">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5" t="s">
        <v>10</v>
      </c>
      <c r="F737" s="16">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5" t="s">
        <v>9</v>
      </c>
      <c r="F738" s="16">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5" t="s">
        <v>10</v>
      </c>
      <c r="F739" s="16">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5" t="s">
        <v>6</v>
      </c>
      <c r="F740" s="16">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5" t="s">
        <v>10</v>
      </c>
      <c r="F741" s="16">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5" t="s">
        <v>9</v>
      </c>
      <c r="F742" s="16">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5" t="s">
        <v>10</v>
      </c>
      <c r="F743" s="16">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5" t="s">
        <v>9</v>
      </c>
      <c r="F744" s="16">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5" t="s">
        <v>10</v>
      </c>
      <c r="F745" s="16">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5" t="s">
        <v>11</v>
      </c>
      <c r="F746" s="16">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5" t="s">
        <v>10</v>
      </c>
      <c r="F747" s="16">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5" t="s">
        <v>11</v>
      </c>
      <c r="F748" s="16">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5" t="s">
        <v>10</v>
      </c>
      <c r="F749" s="16">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5" t="s">
        <v>11</v>
      </c>
      <c r="F750" s="16">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5" t="s">
        <v>10</v>
      </c>
      <c r="F751" s="16">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5" t="s">
        <v>10</v>
      </c>
      <c r="F752" s="16">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5" t="s">
        <v>13</v>
      </c>
      <c r="F753" s="16">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5" t="s">
        <v>9</v>
      </c>
      <c r="F754" s="16">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5" t="s">
        <v>6</v>
      </c>
      <c r="F755" s="16">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5" t="s">
        <v>6</v>
      </c>
      <c r="F756" s="16">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5" t="s">
        <v>11</v>
      </c>
      <c r="F757" s="16">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5" t="s">
        <v>10</v>
      </c>
      <c r="F758" s="16">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5" t="s">
        <v>9</v>
      </c>
      <c r="F759" s="16">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5" t="s">
        <v>13</v>
      </c>
      <c r="F760" s="16">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5" t="s">
        <v>13</v>
      </c>
      <c r="F761" s="16">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5" t="s">
        <v>9</v>
      </c>
      <c r="F762" s="16">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5" t="s">
        <v>13</v>
      </c>
      <c r="F763" s="16">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5" t="s">
        <v>9</v>
      </c>
      <c r="F764" s="16">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5" t="s">
        <v>13</v>
      </c>
      <c r="F765" s="16">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5" t="s">
        <v>10</v>
      </c>
      <c r="F766" s="16">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5" t="s">
        <v>13</v>
      </c>
      <c r="F767" s="16">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5" t="s">
        <v>9</v>
      </c>
      <c r="F768" s="16">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5" t="s">
        <v>11</v>
      </c>
      <c r="F769" s="16">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5" t="s">
        <v>9</v>
      </c>
      <c r="F770" s="16">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5" t="s">
        <v>9</v>
      </c>
      <c r="F771" s="16">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5" t="s">
        <v>13</v>
      </c>
      <c r="F772" s="16">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5" t="s">
        <v>6</v>
      </c>
      <c r="F773" s="16">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5" t="s">
        <v>10</v>
      </c>
      <c r="F774" s="16">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5" t="s">
        <v>10</v>
      </c>
      <c r="F775" s="16">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5" t="s">
        <v>10</v>
      </c>
      <c r="F776" s="16">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5" t="s">
        <v>11</v>
      </c>
      <c r="F777" s="16">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5" t="s">
        <v>13</v>
      </c>
      <c r="F778" s="16">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5" t="s">
        <v>6</v>
      </c>
      <c r="F779" s="16">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5" t="s">
        <v>10</v>
      </c>
      <c r="F780" s="16">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5" t="s">
        <v>6</v>
      </c>
      <c r="F781" s="16">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5" t="s">
        <v>13</v>
      </c>
      <c r="F782" s="16">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5" t="s">
        <v>9</v>
      </c>
      <c r="F783" s="16">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5" t="s">
        <v>11</v>
      </c>
      <c r="F784" s="16">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5" t="s">
        <v>6</v>
      </c>
      <c r="F785" s="16">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5" t="s">
        <v>11</v>
      </c>
      <c r="F786" s="16">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5" t="s">
        <v>10</v>
      </c>
      <c r="F787" s="16">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5" t="s">
        <v>10</v>
      </c>
      <c r="F788" s="16">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5" t="s">
        <v>10</v>
      </c>
      <c r="F789" s="16">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5" t="s">
        <v>6</v>
      </c>
      <c r="F790" s="16">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5" t="s">
        <v>11</v>
      </c>
      <c r="F791" s="16">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5" t="s">
        <v>11</v>
      </c>
      <c r="F792" s="16">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5" t="s">
        <v>13</v>
      </c>
      <c r="F793" s="16">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5" t="s">
        <v>10</v>
      </c>
      <c r="F794" s="16">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5" t="s">
        <v>9</v>
      </c>
      <c r="F795" s="16">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5" t="s">
        <v>10</v>
      </c>
      <c r="F796" s="16">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5" t="s">
        <v>13</v>
      </c>
      <c r="F797" s="16">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5" t="s">
        <v>6</v>
      </c>
      <c r="F798" s="16">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5" t="s">
        <v>13</v>
      </c>
      <c r="F799" s="16">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5" t="s">
        <v>9</v>
      </c>
      <c r="F800" s="16">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5" t="s">
        <v>11</v>
      </c>
      <c r="F801" s="16">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5" t="s">
        <v>10</v>
      </c>
      <c r="F802" s="16">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5" t="s">
        <v>6</v>
      </c>
      <c r="F803" s="16">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5" t="s">
        <v>10</v>
      </c>
      <c r="F804" s="16">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5" t="s">
        <v>13</v>
      </c>
      <c r="F805" s="16">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5" t="s">
        <v>10</v>
      </c>
      <c r="F806" s="16">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5" t="s">
        <v>11</v>
      </c>
      <c r="F807" s="16">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5" t="s">
        <v>6</v>
      </c>
      <c r="F808" s="16">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5" t="s">
        <v>6</v>
      </c>
      <c r="F809" s="16">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5" t="s">
        <v>6</v>
      </c>
      <c r="F810" s="16">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5" t="s">
        <v>6</v>
      </c>
      <c r="F811" s="16">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5" t="s">
        <v>11</v>
      </c>
      <c r="F812" s="16">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5" t="s">
        <v>11</v>
      </c>
      <c r="F813" s="16">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5" t="s">
        <v>6</v>
      </c>
      <c r="F814" s="16">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5" t="s">
        <v>6</v>
      </c>
      <c r="F815" s="16">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5" t="s">
        <v>9</v>
      </c>
      <c r="F816" s="16">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5" t="s">
        <v>13</v>
      </c>
      <c r="F817" s="16">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5" t="s">
        <v>6</v>
      </c>
      <c r="F818" s="16">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5" t="s">
        <v>10</v>
      </c>
      <c r="F819" s="16">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5" t="s">
        <v>6</v>
      </c>
      <c r="F820" s="16">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5" t="s">
        <v>9</v>
      </c>
      <c r="F821" s="16">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5" t="s">
        <v>9</v>
      </c>
      <c r="F822" s="16">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5" t="s">
        <v>13</v>
      </c>
      <c r="F823" s="16">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5" t="s">
        <v>11</v>
      </c>
      <c r="F824" s="16">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5" t="s">
        <v>6</v>
      </c>
      <c r="F825" s="16">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5" t="s">
        <v>9</v>
      </c>
      <c r="F826" s="16">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5" t="s">
        <v>13</v>
      </c>
      <c r="F827" s="16">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5" t="s">
        <v>10</v>
      </c>
      <c r="F828" s="16">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5" t="s">
        <v>9</v>
      </c>
      <c r="F829" s="16">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5" t="s">
        <v>6</v>
      </c>
      <c r="F830" s="16">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5" t="s">
        <v>10</v>
      </c>
      <c r="F831" s="16">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5" t="s">
        <v>11</v>
      </c>
      <c r="F832" s="16">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5" t="s">
        <v>11</v>
      </c>
      <c r="F833" s="16">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5" t="s">
        <v>11</v>
      </c>
      <c r="F834" s="16">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5" t="s">
        <v>10</v>
      </c>
      <c r="F835" s="16">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5" t="s">
        <v>6</v>
      </c>
      <c r="F836" s="16">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5" t="s">
        <v>9</v>
      </c>
      <c r="F837" s="16">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5" t="s">
        <v>6</v>
      </c>
      <c r="F838" s="16">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5" t="s">
        <v>11</v>
      </c>
      <c r="F839" s="16">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5" t="s">
        <v>9</v>
      </c>
      <c r="F840" s="16">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5" t="s">
        <v>6</v>
      </c>
      <c r="F841" s="16">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5" t="s">
        <v>9</v>
      </c>
      <c r="F842" s="16">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5" t="s">
        <v>6</v>
      </c>
      <c r="F843" s="16">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5" t="s">
        <v>9</v>
      </c>
      <c r="F844" s="16">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5" t="s">
        <v>6</v>
      </c>
      <c r="F845" s="16">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5" t="s">
        <v>13</v>
      </c>
      <c r="F846" s="16">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5" t="s">
        <v>10</v>
      </c>
      <c r="F847" s="16">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5" t="s">
        <v>6</v>
      </c>
      <c r="F848" s="16">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5" t="s">
        <v>6</v>
      </c>
      <c r="F849" s="16">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5" t="s">
        <v>11</v>
      </c>
      <c r="F850" s="16">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5" t="s">
        <v>6</v>
      </c>
      <c r="F851" s="16">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5" t="s">
        <v>11</v>
      </c>
      <c r="F852" s="16">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5" t="s">
        <v>9</v>
      </c>
      <c r="F853" s="16">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5" t="s">
        <v>13</v>
      </c>
      <c r="F854" s="16">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5" t="s">
        <v>11</v>
      </c>
      <c r="F855" s="16">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5" t="s">
        <v>9</v>
      </c>
      <c r="F856" s="16">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5" t="s">
        <v>6</v>
      </c>
      <c r="F857" s="16">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5" t="s">
        <v>6</v>
      </c>
      <c r="F858" s="16">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5" t="s">
        <v>13</v>
      </c>
      <c r="F859" s="16">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5" t="s">
        <v>11</v>
      </c>
      <c r="F860" s="16">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5" t="s">
        <v>10</v>
      </c>
      <c r="F861" s="16">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5" t="s">
        <v>11</v>
      </c>
      <c r="F862" s="16">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5" t="s">
        <v>11</v>
      </c>
      <c r="F863" s="16">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5" t="s">
        <v>13</v>
      </c>
      <c r="F864" s="16">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5" t="s">
        <v>9</v>
      </c>
      <c r="F865" s="16">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5" t="s">
        <v>6</v>
      </c>
      <c r="F866" s="16">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5" t="s">
        <v>10</v>
      </c>
      <c r="F867" s="16">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5" t="s">
        <v>13</v>
      </c>
      <c r="F868" s="16">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5" t="s">
        <v>6</v>
      </c>
      <c r="F869" s="16">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5" t="s">
        <v>10</v>
      </c>
      <c r="F870" s="16">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5" t="s">
        <v>9</v>
      </c>
      <c r="F871" s="16">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5" t="s">
        <v>9</v>
      </c>
      <c r="F872" s="16">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5" t="s">
        <v>9</v>
      </c>
      <c r="F873" s="16">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5" t="s">
        <v>9</v>
      </c>
      <c r="F874" s="16">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5" t="s">
        <v>10</v>
      </c>
      <c r="F875" s="16">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5" t="s">
        <v>11</v>
      </c>
      <c r="F876" s="16">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5" t="s">
        <v>10</v>
      </c>
      <c r="F877" s="16">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5" t="s">
        <v>10</v>
      </c>
      <c r="F878" s="16">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5" t="s">
        <v>10</v>
      </c>
      <c r="F879" s="16">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5" t="s">
        <v>11</v>
      </c>
      <c r="F880" s="16">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5" t="s">
        <v>11</v>
      </c>
      <c r="F881" s="16">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5" t="s">
        <v>13</v>
      </c>
      <c r="F882" s="16">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5" t="s">
        <v>11</v>
      </c>
      <c r="F883" s="16">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5" t="s">
        <v>11</v>
      </c>
      <c r="F884" s="16">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5" t="s">
        <v>6</v>
      </c>
      <c r="F885" s="16">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5" t="s">
        <v>13</v>
      </c>
      <c r="F886" s="16">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5" t="s">
        <v>9</v>
      </c>
      <c r="F887" s="16">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5" t="s">
        <v>10</v>
      </c>
      <c r="F888" s="16">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5" t="s">
        <v>9</v>
      </c>
      <c r="F889" s="16">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5" t="s">
        <v>6</v>
      </c>
      <c r="F890" s="16">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5" t="s">
        <v>10</v>
      </c>
      <c r="F891" s="16">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5" t="s">
        <v>10</v>
      </c>
      <c r="F892" s="16">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5" t="s">
        <v>6</v>
      </c>
      <c r="F893" s="16">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5" t="s">
        <v>13</v>
      </c>
      <c r="F894" s="16">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5" t="s">
        <v>9</v>
      </c>
      <c r="F895" s="16">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5" t="s">
        <v>13</v>
      </c>
      <c r="F896" s="16">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5" t="s">
        <v>6</v>
      </c>
      <c r="F897" s="16">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5" t="s">
        <v>10</v>
      </c>
      <c r="F898" s="16">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5" t="s">
        <v>11</v>
      </c>
      <c r="F899" s="16">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5" t="s">
        <v>9</v>
      </c>
      <c r="F900" s="16">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5" t="s">
        <v>13</v>
      </c>
      <c r="F901" s="16">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5" t="s">
        <v>6</v>
      </c>
      <c r="F902" s="16">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5" t="s">
        <v>10</v>
      </c>
      <c r="F903" s="16">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5" t="s">
        <v>6</v>
      </c>
      <c r="F904" s="16">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5" t="s">
        <v>9</v>
      </c>
      <c r="F905" s="16">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5" t="s">
        <v>11</v>
      </c>
      <c r="F906" s="16">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5" t="s">
        <v>13</v>
      </c>
      <c r="F907" s="16">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5" t="s">
        <v>10</v>
      </c>
      <c r="F908" s="16">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5" t="s">
        <v>9</v>
      </c>
      <c r="F909" s="16">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5" t="s">
        <v>13</v>
      </c>
      <c r="F910" s="16">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5" t="s">
        <v>9</v>
      </c>
      <c r="F911" s="16">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5" t="s">
        <v>13</v>
      </c>
      <c r="F912" s="16">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5" t="s">
        <v>10</v>
      </c>
      <c r="F913" s="16">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5" t="s">
        <v>10</v>
      </c>
      <c r="F914" s="16">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5" t="s">
        <v>6</v>
      </c>
      <c r="F915" s="16">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5" t="s">
        <v>10</v>
      </c>
      <c r="F916" s="16">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5" t="s">
        <v>11</v>
      </c>
      <c r="F917" s="16">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5" t="s">
        <v>10</v>
      </c>
      <c r="F918" s="16">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5" t="s">
        <v>9</v>
      </c>
      <c r="F919" s="16">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5" t="s">
        <v>6</v>
      </c>
      <c r="F920" s="16">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5" t="s">
        <v>9</v>
      </c>
      <c r="F921" s="16">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5" t="s">
        <v>10</v>
      </c>
      <c r="F922" s="16">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5" t="s">
        <v>6</v>
      </c>
      <c r="F923" s="16">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5" t="s">
        <v>6</v>
      </c>
      <c r="F924" s="16">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5" t="s">
        <v>9</v>
      </c>
      <c r="F925" s="16">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5" t="s">
        <v>9</v>
      </c>
      <c r="F926" s="16">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5" t="s">
        <v>10</v>
      </c>
      <c r="F927" s="16">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5" t="s">
        <v>6</v>
      </c>
      <c r="F928" s="16">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5" t="s">
        <v>10</v>
      </c>
      <c r="F929" s="16">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5" t="s">
        <v>9</v>
      </c>
      <c r="F930" s="16">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5" t="s">
        <v>11</v>
      </c>
      <c r="F931" s="16">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5" t="s">
        <v>6</v>
      </c>
      <c r="F932" s="16">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5" t="s">
        <v>11</v>
      </c>
      <c r="F933" s="16">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5" t="s">
        <v>6</v>
      </c>
      <c r="F934" s="16">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5" t="s">
        <v>9</v>
      </c>
      <c r="F935" s="16">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5" t="s">
        <v>6</v>
      </c>
      <c r="F936" s="16">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5" t="s">
        <v>6</v>
      </c>
      <c r="F937" s="16">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5" t="s">
        <v>11</v>
      </c>
      <c r="F938" s="16">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5" t="s">
        <v>9</v>
      </c>
      <c r="F939" s="16">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5" t="s">
        <v>13</v>
      </c>
      <c r="F940" s="16">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5" t="s">
        <v>6</v>
      </c>
      <c r="F941" s="16">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5" t="s">
        <v>10</v>
      </c>
      <c r="F942" s="16">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5" t="s">
        <v>13</v>
      </c>
      <c r="F943" s="16">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5" t="s">
        <v>11</v>
      </c>
      <c r="F944" s="16">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5" t="s">
        <v>9</v>
      </c>
      <c r="F945" s="16">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5" t="s">
        <v>10</v>
      </c>
      <c r="F946" s="16">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5" t="s">
        <v>9</v>
      </c>
      <c r="F947" s="16">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5" t="s">
        <v>11</v>
      </c>
      <c r="F948" s="16">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5" t="s">
        <v>6</v>
      </c>
      <c r="F949" s="16">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5" t="s">
        <v>11</v>
      </c>
      <c r="F950" s="16">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5" t="s">
        <v>13</v>
      </c>
      <c r="F951" s="16">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5" t="s">
        <v>6</v>
      </c>
      <c r="F952" s="16">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5" t="s">
        <v>13</v>
      </c>
      <c r="F953" s="16">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5" t="s">
        <v>10</v>
      </c>
      <c r="F954" s="16">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5" t="s">
        <v>9</v>
      </c>
      <c r="F955" s="16">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5" t="s">
        <v>10</v>
      </c>
      <c r="F956" s="16">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5" t="s">
        <v>9</v>
      </c>
      <c r="F957" s="16">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5" t="s">
        <v>10</v>
      </c>
      <c r="F958" s="16">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5" t="s">
        <v>6</v>
      </c>
      <c r="F959" s="16">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5" t="s">
        <v>10</v>
      </c>
      <c r="F960" s="16">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5" t="s">
        <v>13</v>
      </c>
      <c r="F961" s="16">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5" t="s">
        <v>13</v>
      </c>
      <c r="F962" s="16">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5" t="s">
        <v>9</v>
      </c>
      <c r="F963" s="16">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5" t="s">
        <v>6</v>
      </c>
      <c r="F964" s="16">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5" t="s">
        <v>9</v>
      </c>
      <c r="F965" s="16">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5" t="s">
        <v>11</v>
      </c>
      <c r="F966" s="16">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5" t="s">
        <v>6</v>
      </c>
      <c r="F967" s="16">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5" t="s">
        <v>9</v>
      </c>
      <c r="F968" s="16">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5" t="s">
        <v>13</v>
      </c>
      <c r="F969" s="16">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5" t="s">
        <v>6</v>
      </c>
      <c r="F970" s="16">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5" t="s">
        <v>13</v>
      </c>
      <c r="F971" s="16">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1003</v>
      </c>
      <c r="C972" t="s">
        <v>17</v>
      </c>
      <c r="D972">
        <v>151</v>
      </c>
      <c r="E972" s="15" t="s">
        <v>9</v>
      </c>
      <c r="F972" s="16">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1004</v>
      </c>
      <c r="C973" t="s">
        <v>5</v>
      </c>
      <c r="D973">
        <v>158</v>
      </c>
      <c r="E973" s="15" t="s">
        <v>10</v>
      </c>
      <c r="F973" s="16">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1005</v>
      </c>
      <c r="C974" t="s">
        <v>23</v>
      </c>
      <c r="D974">
        <v>45</v>
      </c>
      <c r="E974" s="15" t="s">
        <v>10</v>
      </c>
      <c r="F974" s="16">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1006</v>
      </c>
      <c r="C975" t="s">
        <v>24</v>
      </c>
      <c r="D975">
        <v>141</v>
      </c>
      <c r="E975" s="15" t="s">
        <v>10</v>
      </c>
      <c r="F975" s="16">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1007</v>
      </c>
      <c r="C976" t="s">
        <v>18</v>
      </c>
      <c r="D976">
        <v>147</v>
      </c>
      <c r="E976" s="15" t="s">
        <v>13</v>
      </c>
      <c r="F976" s="16">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1008</v>
      </c>
      <c r="C977" t="s">
        <v>19</v>
      </c>
      <c r="D977">
        <v>126</v>
      </c>
      <c r="E977" s="15" t="s">
        <v>13</v>
      </c>
      <c r="F977" s="16">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1009</v>
      </c>
      <c r="C978" t="s">
        <v>23</v>
      </c>
      <c r="D978">
        <v>126</v>
      </c>
      <c r="E978" s="15" t="s">
        <v>11</v>
      </c>
      <c r="F978" s="16">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1010</v>
      </c>
      <c r="C979" t="s">
        <v>14</v>
      </c>
      <c r="D979">
        <v>32</v>
      </c>
      <c r="E979" s="15" t="s">
        <v>13</v>
      </c>
      <c r="F979" s="16">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1011</v>
      </c>
      <c r="C980" t="s">
        <v>23</v>
      </c>
      <c r="D980">
        <v>84</v>
      </c>
      <c r="E980" s="15" t="s">
        <v>6</v>
      </c>
      <c r="F980" s="16">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1012</v>
      </c>
      <c r="C981" t="s">
        <v>22</v>
      </c>
      <c r="D981">
        <v>120</v>
      </c>
      <c r="E981" s="15" t="s">
        <v>11</v>
      </c>
      <c r="F981" s="16">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1013</v>
      </c>
      <c r="C982" t="s">
        <v>8</v>
      </c>
      <c r="D982">
        <v>93</v>
      </c>
      <c r="E982" s="15" t="s">
        <v>13</v>
      </c>
      <c r="F982" s="16">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1014</v>
      </c>
      <c r="C983" t="s">
        <v>15</v>
      </c>
      <c r="D983">
        <v>76</v>
      </c>
      <c r="E983" s="15" t="s">
        <v>9</v>
      </c>
      <c r="F983" s="16">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1015</v>
      </c>
      <c r="C984" t="s">
        <v>5</v>
      </c>
      <c r="D984">
        <v>89</v>
      </c>
      <c r="E984" s="15" t="s">
        <v>13</v>
      </c>
      <c r="F984" s="16">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1016</v>
      </c>
      <c r="C985" t="s">
        <v>21</v>
      </c>
      <c r="D985">
        <v>91</v>
      </c>
      <c r="E985" s="15" t="s">
        <v>6</v>
      </c>
      <c r="F985" s="16">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1017</v>
      </c>
      <c r="C986" t="s">
        <v>7</v>
      </c>
      <c r="D986">
        <v>7</v>
      </c>
      <c r="E986" s="15" t="s">
        <v>10</v>
      </c>
      <c r="F986" s="16">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1018</v>
      </c>
      <c r="C987" t="s">
        <v>14</v>
      </c>
      <c r="D987">
        <v>140</v>
      </c>
      <c r="E987" s="15" t="s">
        <v>10</v>
      </c>
      <c r="F987" s="16">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1019</v>
      </c>
      <c r="C988" t="s">
        <v>12</v>
      </c>
      <c r="D988">
        <v>58</v>
      </c>
      <c r="E988" s="15" t="s">
        <v>11</v>
      </c>
      <c r="F988" s="16">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1020</v>
      </c>
      <c r="C989" t="s">
        <v>20</v>
      </c>
      <c r="D989">
        <v>90</v>
      </c>
      <c r="E989" s="15" t="s">
        <v>9</v>
      </c>
      <c r="F989" s="16">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1021</v>
      </c>
      <c r="C990" t="s">
        <v>20</v>
      </c>
      <c r="D990">
        <v>106</v>
      </c>
      <c r="E990" s="15" t="s">
        <v>13</v>
      </c>
      <c r="F990" s="16">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1022</v>
      </c>
      <c r="C991" t="s">
        <v>22</v>
      </c>
      <c r="D991">
        <v>72</v>
      </c>
      <c r="E991" s="15" t="s">
        <v>10</v>
      </c>
      <c r="F991" s="16">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1023</v>
      </c>
      <c r="C992" t="s">
        <v>7</v>
      </c>
      <c r="D992">
        <v>124</v>
      </c>
      <c r="E992" s="15" t="s">
        <v>10</v>
      </c>
      <c r="F992" s="16">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1024</v>
      </c>
      <c r="C993" t="s">
        <v>24</v>
      </c>
      <c r="D993">
        <v>86</v>
      </c>
      <c r="E993" s="15" t="s">
        <v>6</v>
      </c>
      <c r="F993" s="16">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1025</v>
      </c>
      <c r="C994" t="s">
        <v>23</v>
      </c>
      <c r="D994">
        <v>164</v>
      </c>
      <c r="E994" s="15" t="s">
        <v>6</v>
      </c>
      <c r="F994" s="16">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1026</v>
      </c>
      <c r="C995" t="s">
        <v>8</v>
      </c>
      <c r="D995">
        <v>40</v>
      </c>
      <c r="E995" s="15" t="s">
        <v>9</v>
      </c>
      <c r="F995" s="16">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1027</v>
      </c>
      <c r="C996" t="s">
        <v>21</v>
      </c>
      <c r="D996">
        <v>76</v>
      </c>
      <c r="E996" s="15" t="s">
        <v>11</v>
      </c>
      <c r="F996" s="16">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1028</v>
      </c>
      <c r="C997" t="s">
        <v>7</v>
      </c>
      <c r="D997">
        <v>95</v>
      </c>
      <c r="E997" s="15" t="s">
        <v>13</v>
      </c>
      <c r="F997" s="16">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1029</v>
      </c>
      <c r="C998" t="s">
        <v>21</v>
      </c>
      <c r="D998">
        <v>113</v>
      </c>
      <c r="E998" s="15" t="s">
        <v>10</v>
      </c>
      <c r="F998" s="16">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1030</v>
      </c>
      <c r="C999" t="s">
        <v>24</v>
      </c>
      <c r="D999">
        <v>81</v>
      </c>
      <c r="E999" s="15" t="s">
        <v>10</v>
      </c>
      <c r="F999" s="16">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1031</v>
      </c>
      <c r="C1000" t="s">
        <v>15</v>
      </c>
      <c r="D1000">
        <v>127</v>
      </c>
      <c r="E1000" s="15" t="s">
        <v>13</v>
      </c>
      <c r="F1000" s="16">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1032</v>
      </c>
      <c r="C1001" t="s">
        <v>14</v>
      </c>
      <c r="D1001">
        <v>146</v>
      </c>
      <c r="E1001" s="15" t="s">
        <v>10</v>
      </c>
      <c r="F1001" s="16">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1033</v>
      </c>
      <c r="C1002" t="s">
        <v>18</v>
      </c>
      <c r="D1002">
        <v>123</v>
      </c>
      <c r="E1002" s="15" t="s">
        <v>10</v>
      </c>
      <c r="F1002" s="16">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1034</v>
      </c>
      <c r="C1003" t="s">
        <v>22</v>
      </c>
      <c r="D1003">
        <v>114</v>
      </c>
      <c r="E1003" s="15" t="s">
        <v>11</v>
      </c>
      <c r="F1003" s="16">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A3:A7"/>
  <sheetViews>
    <sheetView topLeftCell="B6" zoomScale="138" workbookViewId="0">
      <selection activeCell="E9" sqref="E9"/>
    </sheetView>
  </sheetViews>
  <sheetFormatPr defaultRowHeight="14.4" x14ac:dyDescent="0.3"/>
  <cols>
    <col min="5" max="5" width="10.8984375" customWidth="1"/>
    <col min="6" max="6" width="9.8984375" customWidth="1"/>
  </cols>
  <sheetData>
    <row r="3" ht="25.5" customHeight="1" x14ac:dyDescent="0.3"/>
    <row r="4" ht="25.5" customHeight="1" x14ac:dyDescent="0.3"/>
    <row r="5" ht="25.5" customHeight="1" x14ac:dyDescent="0.3"/>
    <row r="6" ht="25.5" customHeight="1" x14ac:dyDescent="0.3"/>
    <row r="7" ht="25.5" customHeight="1"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E1ED1-50FA-4BFE-BA5C-7CBDD209CC79}">
  <dimension ref="A1:AR45"/>
  <sheetViews>
    <sheetView tabSelected="1" zoomScale="74" workbookViewId="0">
      <selection activeCell="C32" sqref="C32"/>
    </sheetView>
  </sheetViews>
  <sheetFormatPr defaultRowHeight="14.4" x14ac:dyDescent="0.3"/>
  <cols>
    <col min="1" max="1" width="3.296875" customWidth="1"/>
    <col min="2" max="2" width="3.59765625" customWidth="1"/>
    <col min="4" max="4" width="7.19921875" customWidth="1"/>
    <col min="15" max="15" width="5.3984375" customWidth="1"/>
    <col min="16" max="16" width="9.296875" bestFit="1" customWidth="1"/>
  </cols>
  <sheetData>
    <row r="1" spans="1:44" x14ac:dyDescent="0.3">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41"/>
      <c r="AJ1" s="41"/>
      <c r="AK1" s="41"/>
      <c r="AL1" s="41"/>
      <c r="AM1" s="41"/>
      <c r="AN1" s="41"/>
      <c r="AO1" s="41"/>
      <c r="AP1" s="41"/>
      <c r="AQ1" s="41"/>
      <c r="AR1" s="41"/>
    </row>
    <row r="2" spans="1:44" x14ac:dyDescent="0.3">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41"/>
      <c r="AJ2" s="41"/>
      <c r="AK2" s="41"/>
      <c r="AL2" s="41"/>
      <c r="AM2" s="41"/>
      <c r="AN2" s="41"/>
      <c r="AO2" s="41"/>
      <c r="AP2" s="41"/>
      <c r="AQ2" s="41"/>
      <c r="AR2" s="41"/>
    </row>
    <row r="3" spans="1:44" x14ac:dyDescent="0.3">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41"/>
      <c r="AJ3" s="41"/>
      <c r="AK3" s="41"/>
      <c r="AL3" s="41"/>
      <c r="AM3" s="41"/>
      <c r="AN3" s="41"/>
      <c r="AO3" s="41"/>
      <c r="AP3" s="41"/>
      <c r="AQ3" s="41"/>
      <c r="AR3" s="41"/>
    </row>
    <row r="4" spans="1:44" x14ac:dyDescent="0.3">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41"/>
      <c r="AJ4" s="41"/>
      <c r="AK4" s="41"/>
      <c r="AL4" s="41"/>
      <c r="AM4" s="41"/>
      <c r="AN4" s="41"/>
      <c r="AO4" s="41"/>
      <c r="AP4" s="41"/>
      <c r="AQ4" s="41"/>
      <c r="AR4" s="41"/>
    </row>
    <row r="5" spans="1:44" x14ac:dyDescent="0.3">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41"/>
      <c r="AJ5" s="41"/>
      <c r="AK5" s="41"/>
      <c r="AL5" s="41"/>
      <c r="AM5" s="41"/>
      <c r="AN5" s="41"/>
      <c r="AO5" s="41"/>
      <c r="AP5" s="41"/>
      <c r="AQ5" s="41"/>
      <c r="AR5" s="41"/>
    </row>
    <row r="6" spans="1:44" x14ac:dyDescent="0.3">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41"/>
      <c r="AJ6" s="41"/>
      <c r="AK6" s="41"/>
      <c r="AL6" s="41"/>
      <c r="AM6" s="41"/>
      <c r="AN6" s="41"/>
      <c r="AO6" s="41"/>
      <c r="AP6" s="41"/>
      <c r="AQ6" s="41"/>
      <c r="AR6" s="41"/>
    </row>
    <row r="7" spans="1:44" x14ac:dyDescent="0.3">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41"/>
      <c r="AJ7" s="41"/>
      <c r="AK7" s="41"/>
      <c r="AL7" s="41"/>
      <c r="AM7" s="41"/>
      <c r="AN7" s="41"/>
      <c r="AO7" s="41"/>
      <c r="AP7" s="41"/>
      <c r="AQ7" s="41"/>
      <c r="AR7" s="41"/>
    </row>
    <row r="8" spans="1:44" x14ac:dyDescent="0.3">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41"/>
      <c r="AJ8" s="41"/>
      <c r="AK8" s="41"/>
      <c r="AL8" s="41"/>
      <c r="AM8" s="41"/>
      <c r="AN8" s="41"/>
      <c r="AO8" s="41"/>
      <c r="AP8" s="41"/>
      <c r="AQ8" s="41"/>
      <c r="AR8" s="41"/>
    </row>
    <row r="9" spans="1:44" x14ac:dyDescent="0.3">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41"/>
      <c r="AJ9" s="41"/>
      <c r="AK9" s="41"/>
      <c r="AL9" s="41"/>
      <c r="AM9" s="41"/>
      <c r="AN9" s="41"/>
      <c r="AO9" s="41"/>
      <c r="AP9" s="41"/>
      <c r="AQ9" s="41"/>
      <c r="AR9" s="41"/>
    </row>
    <row r="10" spans="1:44" x14ac:dyDescent="0.3">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41"/>
      <c r="AJ10" s="41"/>
      <c r="AK10" s="41"/>
      <c r="AL10" s="41"/>
      <c r="AM10" s="41"/>
      <c r="AN10" s="41"/>
      <c r="AO10" s="41"/>
      <c r="AP10" s="41"/>
      <c r="AQ10" s="41"/>
      <c r="AR10" s="41"/>
    </row>
    <row r="11" spans="1:44" x14ac:dyDescent="0.3">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41"/>
      <c r="AJ11" s="41"/>
      <c r="AK11" s="41"/>
      <c r="AL11" s="41"/>
      <c r="AM11" s="41"/>
      <c r="AN11" s="41"/>
      <c r="AO11" s="41"/>
      <c r="AP11" s="41"/>
      <c r="AQ11" s="41"/>
      <c r="AR11" s="41"/>
    </row>
    <row r="12" spans="1:44" x14ac:dyDescent="0.3">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41"/>
      <c r="AJ12" s="41"/>
      <c r="AK12" s="41"/>
      <c r="AL12" s="41"/>
      <c r="AM12" s="41"/>
      <c r="AN12" s="41"/>
      <c r="AO12" s="41"/>
      <c r="AP12" s="41"/>
      <c r="AQ12" s="41"/>
      <c r="AR12" s="41"/>
    </row>
    <row r="13" spans="1:44" x14ac:dyDescent="0.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41"/>
      <c r="AJ13" s="41"/>
      <c r="AK13" s="41"/>
      <c r="AL13" s="41"/>
      <c r="AM13" s="41"/>
      <c r="AN13" s="41"/>
      <c r="AO13" s="41"/>
      <c r="AP13" s="41"/>
      <c r="AQ13" s="41"/>
      <c r="AR13" s="41"/>
    </row>
    <row r="14" spans="1:44" x14ac:dyDescent="0.3">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41"/>
      <c r="AJ14" s="41"/>
      <c r="AK14" s="41"/>
      <c r="AL14" s="41"/>
      <c r="AM14" s="41"/>
      <c r="AN14" s="41"/>
      <c r="AO14" s="41"/>
      <c r="AP14" s="41"/>
      <c r="AQ14" s="41"/>
      <c r="AR14" s="41"/>
    </row>
    <row r="15" spans="1:44" x14ac:dyDescent="0.3">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41"/>
      <c r="AJ15" s="41"/>
      <c r="AK15" s="41"/>
      <c r="AL15" s="41"/>
      <c r="AM15" s="41"/>
      <c r="AN15" s="41"/>
      <c r="AO15" s="41"/>
      <c r="AP15" s="41"/>
      <c r="AQ15" s="41"/>
      <c r="AR15" s="41"/>
    </row>
    <row r="16" spans="1:44" x14ac:dyDescent="0.3">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41"/>
      <c r="AJ16" s="41"/>
      <c r="AK16" s="41"/>
      <c r="AL16" s="41"/>
      <c r="AM16" s="41"/>
      <c r="AN16" s="41"/>
      <c r="AO16" s="41"/>
      <c r="AP16" s="41"/>
      <c r="AQ16" s="41"/>
      <c r="AR16" s="41"/>
    </row>
    <row r="17" spans="1:44" x14ac:dyDescent="0.3">
      <c r="A17" s="18"/>
      <c r="B17" s="18"/>
      <c r="C17" s="18"/>
      <c r="D17" s="18"/>
      <c r="E17" s="18"/>
      <c r="F17" s="18"/>
      <c r="G17" s="18"/>
      <c r="H17" s="18"/>
      <c r="I17" s="18"/>
      <c r="J17" s="18"/>
      <c r="K17" s="18"/>
      <c r="L17" s="18"/>
      <c r="M17" s="18"/>
      <c r="N17" s="18"/>
      <c r="O17" s="18"/>
      <c r="P17" s="28"/>
      <c r="Q17" s="29" t="s">
        <v>11</v>
      </c>
      <c r="R17" s="29" t="s">
        <v>9</v>
      </c>
      <c r="S17" s="29" t="s">
        <v>6</v>
      </c>
      <c r="T17" s="29" t="s">
        <v>13</v>
      </c>
      <c r="U17" s="29" t="s">
        <v>10</v>
      </c>
      <c r="V17" s="30" t="s">
        <v>1074</v>
      </c>
      <c r="W17" s="18"/>
      <c r="X17" s="18"/>
      <c r="Y17" s="18"/>
      <c r="Z17" s="18"/>
      <c r="AA17" s="18"/>
      <c r="AB17" s="18"/>
      <c r="AC17" s="18"/>
      <c r="AD17" s="18"/>
      <c r="AE17" s="18"/>
      <c r="AF17" s="18"/>
      <c r="AG17" s="18"/>
      <c r="AH17" s="18"/>
      <c r="AI17" s="41"/>
      <c r="AJ17" s="41"/>
      <c r="AK17" s="41"/>
      <c r="AL17" s="41"/>
      <c r="AM17" s="41"/>
      <c r="AN17" s="41"/>
      <c r="AO17" s="41"/>
      <c r="AP17" s="41"/>
      <c r="AQ17" s="41"/>
      <c r="AR17" s="41"/>
    </row>
    <row r="18" spans="1:44" x14ac:dyDescent="0.3">
      <c r="A18" s="18"/>
      <c r="B18" s="18"/>
      <c r="C18" s="18"/>
      <c r="D18" s="18"/>
      <c r="E18" s="18"/>
      <c r="F18" s="18"/>
      <c r="G18" s="18"/>
      <c r="H18" s="18"/>
      <c r="I18" s="18"/>
      <c r="J18" s="18"/>
      <c r="K18" s="18"/>
      <c r="L18" s="18"/>
      <c r="M18" s="18"/>
      <c r="N18" s="18"/>
      <c r="O18" s="18"/>
      <c r="P18" s="39" t="str" cm="1">
        <f t="array" ref="P18:V35">IF(Pivots!A65:G82="","",Pivots!A65:G82)</f>
        <v>Cincinnati</v>
      </c>
      <c r="Q18" s="31" t="str">
        <v/>
      </c>
      <c r="R18" s="31" t="str">
        <v/>
      </c>
      <c r="S18" s="31" t="str">
        <v/>
      </c>
      <c r="T18" s="31" t="str">
        <v/>
      </c>
      <c r="U18" s="31" t="str">
        <v/>
      </c>
      <c r="V18" s="32" t="str">
        <v/>
      </c>
      <c r="W18" s="18"/>
      <c r="X18" s="18"/>
      <c r="Y18" s="18"/>
      <c r="Z18" s="18"/>
      <c r="AA18" s="18"/>
      <c r="AB18" s="18"/>
      <c r="AC18" s="18"/>
      <c r="AD18" s="18"/>
      <c r="AE18" s="18"/>
      <c r="AF18" s="18"/>
      <c r="AG18" s="18"/>
      <c r="AH18" s="18"/>
      <c r="AI18" s="41"/>
      <c r="AJ18" s="41"/>
      <c r="AK18" s="41"/>
      <c r="AL18" s="41"/>
      <c r="AM18" s="41"/>
      <c r="AN18" s="41"/>
      <c r="AO18" s="41"/>
      <c r="AP18" s="41"/>
      <c r="AQ18" s="41"/>
      <c r="AR18" s="41"/>
    </row>
    <row r="19" spans="1:44" x14ac:dyDescent="0.3">
      <c r="A19" s="18"/>
      <c r="B19" s="18"/>
      <c r="C19" s="18"/>
      <c r="D19" s="18"/>
      <c r="E19" s="18"/>
      <c r="F19" s="18"/>
      <c r="G19" s="18"/>
      <c r="H19" s="18"/>
      <c r="I19" s="18"/>
      <c r="J19" s="18"/>
      <c r="K19" s="18"/>
      <c r="L19" s="18"/>
      <c r="M19" s="18"/>
      <c r="N19" s="18"/>
      <c r="O19" s="18"/>
      <c r="P19" s="33" t="str">
        <v>C0003</v>
      </c>
      <c r="Q19" s="34">
        <v>891</v>
      </c>
      <c r="R19" s="34">
        <v>1332</v>
      </c>
      <c r="S19" s="34">
        <v>1282</v>
      </c>
      <c r="T19" s="34">
        <v>739</v>
      </c>
      <c r="U19" s="34">
        <v>560</v>
      </c>
      <c r="V19" s="35">
        <v>4804</v>
      </c>
      <c r="W19" s="18"/>
      <c r="X19" s="18"/>
      <c r="Y19" s="18"/>
      <c r="Z19" s="18"/>
      <c r="AA19" s="18"/>
      <c r="AB19" s="18"/>
      <c r="AC19" s="18"/>
      <c r="AD19" s="18"/>
      <c r="AE19" s="18"/>
      <c r="AF19" s="18"/>
      <c r="AG19" s="18"/>
      <c r="AH19" s="18"/>
      <c r="AI19" s="41"/>
      <c r="AJ19" s="41"/>
      <c r="AK19" s="41"/>
      <c r="AL19" s="41"/>
      <c r="AM19" s="41"/>
      <c r="AN19" s="41"/>
      <c r="AO19" s="41"/>
      <c r="AP19" s="41"/>
      <c r="AQ19" s="41"/>
      <c r="AR19" s="41"/>
    </row>
    <row r="20" spans="1:44" x14ac:dyDescent="0.3">
      <c r="A20" s="18"/>
      <c r="B20" s="18"/>
      <c r="C20" s="18"/>
      <c r="D20" s="18"/>
      <c r="E20" s="18"/>
      <c r="F20" s="18"/>
      <c r="G20" s="18"/>
      <c r="H20" s="18"/>
      <c r="I20" s="18"/>
      <c r="J20" s="18"/>
      <c r="K20" s="18"/>
      <c r="L20" s="18"/>
      <c r="M20" s="18"/>
      <c r="N20" s="18"/>
      <c r="O20" s="18"/>
      <c r="P20" s="33" t="str">
        <v>C0004</v>
      </c>
      <c r="Q20" s="34">
        <v>1991</v>
      </c>
      <c r="R20" s="34">
        <v>1886</v>
      </c>
      <c r="S20" s="34">
        <v>1206</v>
      </c>
      <c r="T20" s="34">
        <v>884</v>
      </c>
      <c r="U20" s="34">
        <v>1722</v>
      </c>
      <c r="V20" s="35">
        <v>7689</v>
      </c>
      <c r="W20" s="18"/>
      <c r="X20" s="18"/>
      <c r="Y20" s="18"/>
      <c r="Z20" s="18"/>
      <c r="AA20" s="18"/>
      <c r="AB20" s="18"/>
      <c r="AC20" s="18"/>
      <c r="AD20" s="18"/>
      <c r="AE20" s="18"/>
      <c r="AF20" s="18"/>
      <c r="AG20" s="18"/>
      <c r="AH20" s="18"/>
      <c r="AI20" s="41"/>
      <c r="AJ20" s="41"/>
      <c r="AK20" s="41"/>
      <c r="AL20" s="41"/>
      <c r="AM20" s="41"/>
      <c r="AN20" s="41"/>
      <c r="AO20" s="41"/>
      <c r="AP20" s="41"/>
      <c r="AQ20" s="41"/>
      <c r="AR20" s="41"/>
    </row>
    <row r="21" spans="1:44" x14ac:dyDescent="0.3">
      <c r="A21" s="18"/>
      <c r="B21" s="18"/>
      <c r="C21" s="18"/>
      <c r="D21" s="18"/>
      <c r="E21" s="18"/>
      <c r="F21" s="18"/>
      <c r="G21" s="18"/>
      <c r="H21" s="18"/>
      <c r="I21" s="18"/>
      <c r="J21" s="18"/>
      <c r="K21" s="18"/>
      <c r="L21" s="18"/>
      <c r="M21" s="18"/>
      <c r="N21" s="18"/>
      <c r="O21" s="18"/>
      <c r="P21" s="33" t="str">
        <v>C0011</v>
      </c>
      <c r="Q21" s="34">
        <v>1163</v>
      </c>
      <c r="R21" s="34">
        <v>1180</v>
      </c>
      <c r="S21" s="34">
        <v>1616</v>
      </c>
      <c r="T21" s="34">
        <v>1043</v>
      </c>
      <c r="U21" s="34">
        <v>1747</v>
      </c>
      <c r="V21" s="35">
        <v>6749</v>
      </c>
      <c r="W21" s="18"/>
      <c r="X21" s="18"/>
      <c r="Y21" s="18"/>
      <c r="Z21" s="18"/>
      <c r="AA21" s="18"/>
      <c r="AB21" s="18"/>
      <c r="AC21" s="18"/>
      <c r="AD21" s="18"/>
      <c r="AE21" s="18"/>
      <c r="AF21" s="18"/>
      <c r="AG21" s="18"/>
      <c r="AH21" s="18"/>
      <c r="AI21" s="41"/>
      <c r="AJ21" s="41"/>
      <c r="AK21" s="41"/>
      <c r="AL21" s="41"/>
      <c r="AM21" s="41"/>
      <c r="AN21" s="41"/>
      <c r="AO21" s="41"/>
      <c r="AP21" s="41"/>
      <c r="AQ21" s="41"/>
      <c r="AR21" s="41"/>
    </row>
    <row r="22" spans="1:44" x14ac:dyDescent="0.3">
      <c r="A22" s="18"/>
      <c r="B22" s="18"/>
      <c r="C22" s="18"/>
      <c r="D22" s="18"/>
      <c r="E22" s="18"/>
      <c r="F22" s="18"/>
      <c r="G22" s="18"/>
      <c r="H22" s="18"/>
      <c r="I22" s="18"/>
      <c r="J22" s="18"/>
      <c r="K22" s="18"/>
      <c r="L22" s="18"/>
      <c r="M22" s="18"/>
      <c r="N22" s="18"/>
      <c r="O22" s="18"/>
      <c r="P22" s="33" t="str">
        <v>C0012</v>
      </c>
      <c r="Q22" s="34">
        <v>1438</v>
      </c>
      <c r="R22" s="34">
        <v>1616</v>
      </c>
      <c r="S22" s="34">
        <v>866</v>
      </c>
      <c r="T22" s="34">
        <v>829</v>
      </c>
      <c r="U22" s="34">
        <v>2070</v>
      </c>
      <c r="V22" s="35">
        <v>6819</v>
      </c>
      <c r="W22" s="18"/>
      <c r="X22" s="18"/>
      <c r="Y22" s="18"/>
      <c r="Z22" s="18"/>
      <c r="AA22" s="18"/>
      <c r="AB22" s="18"/>
      <c r="AC22" s="18"/>
      <c r="AD22" s="18"/>
      <c r="AE22" s="18"/>
      <c r="AF22" s="18"/>
      <c r="AG22" s="18"/>
      <c r="AH22" s="18"/>
      <c r="AI22" s="41"/>
      <c r="AJ22" s="41"/>
      <c r="AK22" s="41"/>
      <c r="AL22" s="41"/>
      <c r="AM22" s="41"/>
      <c r="AN22" s="41"/>
      <c r="AO22" s="41"/>
      <c r="AP22" s="41"/>
      <c r="AQ22" s="41"/>
      <c r="AR22" s="41"/>
    </row>
    <row r="23" spans="1:44" x14ac:dyDescent="0.3">
      <c r="A23" s="18"/>
      <c r="B23" s="18"/>
      <c r="C23" s="18"/>
      <c r="D23" s="18"/>
      <c r="E23" s="18"/>
      <c r="F23" s="18"/>
      <c r="G23" s="18"/>
      <c r="H23" s="18"/>
      <c r="I23" s="18"/>
      <c r="J23" s="18"/>
      <c r="K23" s="18"/>
      <c r="L23" s="18"/>
      <c r="M23" s="18"/>
      <c r="N23" s="18"/>
      <c r="O23" s="18"/>
      <c r="P23" s="39" t="str">
        <v>Cleveland</v>
      </c>
      <c r="Q23" s="34" t="str">
        <v/>
      </c>
      <c r="R23" s="34" t="str">
        <v/>
      </c>
      <c r="S23" s="34" t="str">
        <v/>
      </c>
      <c r="T23" s="34" t="str">
        <v/>
      </c>
      <c r="U23" s="34" t="str">
        <v/>
      </c>
      <c r="V23" s="35" t="str">
        <v/>
      </c>
      <c r="W23" s="18"/>
      <c r="X23" s="18"/>
      <c r="Y23" s="18"/>
      <c r="Z23" s="18"/>
      <c r="AA23" s="18"/>
      <c r="AB23" s="18"/>
      <c r="AC23" s="18"/>
      <c r="AD23" s="18"/>
      <c r="AE23" s="18"/>
      <c r="AF23" s="18"/>
      <c r="AG23" s="18"/>
      <c r="AH23" s="18"/>
      <c r="AI23" s="41"/>
      <c r="AJ23" s="41"/>
      <c r="AK23" s="41"/>
      <c r="AL23" s="41"/>
      <c r="AM23" s="41"/>
      <c r="AN23" s="41"/>
      <c r="AO23" s="41"/>
      <c r="AP23" s="41"/>
      <c r="AQ23" s="41"/>
      <c r="AR23" s="41"/>
    </row>
    <row r="24" spans="1:44" x14ac:dyDescent="0.3">
      <c r="A24" s="18"/>
      <c r="B24" s="18"/>
      <c r="C24" s="18"/>
      <c r="D24" s="18"/>
      <c r="E24" s="18"/>
      <c r="F24" s="18"/>
      <c r="G24" s="18"/>
      <c r="H24" s="18"/>
      <c r="I24" s="18"/>
      <c r="J24" s="18"/>
      <c r="K24" s="18"/>
      <c r="L24" s="18"/>
      <c r="M24" s="18"/>
      <c r="N24" s="18"/>
      <c r="O24" s="18"/>
      <c r="P24" s="33" t="str">
        <v>C0002</v>
      </c>
      <c r="Q24" s="34">
        <v>1233</v>
      </c>
      <c r="R24" s="34">
        <v>223</v>
      </c>
      <c r="S24" s="34">
        <v>1680</v>
      </c>
      <c r="T24" s="34">
        <v>990</v>
      </c>
      <c r="U24" s="34">
        <v>1508</v>
      </c>
      <c r="V24" s="35">
        <v>5634</v>
      </c>
      <c r="W24" s="18"/>
      <c r="X24" s="18"/>
      <c r="Y24" s="18"/>
      <c r="Z24" s="18"/>
      <c r="AA24" s="18"/>
      <c r="AB24" s="18"/>
      <c r="AC24" s="18"/>
      <c r="AD24" s="18"/>
      <c r="AE24" s="18"/>
      <c r="AF24" s="18"/>
      <c r="AG24" s="18"/>
      <c r="AH24" s="18"/>
      <c r="AI24" s="41"/>
      <c r="AJ24" s="41"/>
      <c r="AK24" s="41"/>
      <c r="AL24" s="41"/>
      <c r="AM24" s="41"/>
      <c r="AN24" s="41"/>
      <c r="AO24" s="41"/>
      <c r="AP24" s="41"/>
      <c r="AQ24" s="41"/>
      <c r="AR24" s="41"/>
    </row>
    <row r="25" spans="1:44" x14ac:dyDescent="0.3">
      <c r="A25" s="18"/>
      <c r="B25" s="18"/>
      <c r="C25" s="18"/>
      <c r="D25" s="18"/>
      <c r="E25" s="18"/>
      <c r="F25" s="18"/>
      <c r="G25" s="18"/>
      <c r="H25" s="18"/>
      <c r="I25" s="18"/>
      <c r="J25" s="18"/>
      <c r="K25" s="18"/>
      <c r="L25" s="18"/>
      <c r="M25" s="18"/>
      <c r="N25" s="18"/>
      <c r="O25" s="18"/>
      <c r="P25" s="33" t="str">
        <v>C0007</v>
      </c>
      <c r="Q25" s="34">
        <v>1598</v>
      </c>
      <c r="R25" s="34">
        <v>1907</v>
      </c>
      <c r="S25" s="34">
        <v>869</v>
      </c>
      <c r="T25" s="34">
        <v>1426</v>
      </c>
      <c r="U25" s="34">
        <v>1416</v>
      </c>
      <c r="V25" s="35">
        <v>7216</v>
      </c>
      <c r="W25" s="18"/>
      <c r="X25" s="18"/>
      <c r="Y25" s="18"/>
      <c r="Z25" s="18"/>
      <c r="AA25" s="18"/>
      <c r="AB25" s="18"/>
      <c r="AC25" s="18"/>
      <c r="AD25" s="18"/>
      <c r="AE25" s="18"/>
      <c r="AF25" s="18"/>
      <c r="AG25" s="18"/>
      <c r="AH25" s="18"/>
      <c r="AI25" s="41"/>
      <c r="AJ25" s="41"/>
      <c r="AK25" s="41"/>
      <c r="AL25" s="41"/>
      <c r="AM25" s="41"/>
      <c r="AN25" s="41"/>
      <c r="AO25" s="41"/>
      <c r="AP25" s="41"/>
      <c r="AQ25" s="41"/>
      <c r="AR25" s="41"/>
    </row>
    <row r="26" spans="1:44" x14ac:dyDescent="0.3">
      <c r="A26" s="18"/>
      <c r="B26" s="18"/>
      <c r="C26" s="18"/>
      <c r="D26" s="18"/>
      <c r="E26" s="18"/>
      <c r="F26" s="18"/>
      <c r="G26" s="18"/>
      <c r="H26" s="18"/>
      <c r="I26" s="18"/>
      <c r="J26" s="18"/>
      <c r="K26" s="18"/>
      <c r="L26" s="18"/>
      <c r="M26" s="18"/>
      <c r="N26" s="18"/>
      <c r="O26" s="18"/>
      <c r="P26" s="33" t="str">
        <v>C0008</v>
      </c>
      <c r="Q26" s="34">
        <v>900</v>
      </c>
      <c r="R26" s="34">
        <v>1016</v>
      </c>
      <c r="S26" s="34">
        <v>960</v>
      </c>
      <c r="T26" s="34">
        <v>940</v>
      </c>
      <c r="U26" s="34">
        <v>1193</v>
      </c>
      <c r="V26" s="35">
        <v>5009</v>
      </c>
      <c r="W26" s="18"/>
      <c r="X26" s="18"/>
      <c r="Y26" s="18"/>
      <c r="Z26" s="18"/>
      <c r="AA26" s="18"/>
      <c r="AB26" s="18"/>
      <c r="AC26" s="18"/>
      <c r="AD26" s="18"/>
      <c r="AE26" s="18"/>
      <c r="AF26" s="18"/>
      <c r="AG26" s="18"/>
      <c r="AH26" s="18"/>
      <c r="AI26" s="41"/>
      <c r="AJ26" s="41"/>
      <c r="AK26" s="41"/>
      <c r="AL26" s="41"/>
      <c r="AM26" s="41"/>
      <c r="AN26" s="41"/>
      <c r="AO26" s="41"/>
      <c r="AP26" s="41"/>
      <c r="AQ26" s="41"/>
      <c r="AR26" s="41"/>
    </row>
    <row r="27" spans="1:44" x14ac:dyDescent="0.3">
      <c r="A27" s="18"/>
      <c r="B27" s="18"/>
      <c r="C27" s="18"/>
      <c r="D27" s="18"/>
      <c r="E27" s="18"/>
      <c r="F27" s="18"/>
      <c r="G27" s="18"/>
      <c r="H27" s="18"/>
      <c r="I27" s="18"/>
      <c r="J27" s="18"/>
      <c r="K27" s="18"/>
      <c r="L27" s="18"/>
      <c r="M27" s="18"/>
      <c r="N27" s="18"/>
      <c r="O27" s="18"/>
      <c r="P27" s="33" t="str">
        <v>C0010</v>
      </c>
      <c r="Q27" s="34">
        <v>900</v>
      </c>
      <c r="R27" s="34">
        <v>1470</v>
      </c>
      <c r="S27" s="34">
        <v>1617</v>
      </c>
      <c r="T27" s="34">
        <v>1314</v>
      </c>
      <c r="U27" s="34">
        <v>941</v>
      </c>
      <c r="V27" s="35">
        <v>6242</v>
      </c>
      <c r="W27" s="18"/>
      <c r="X27" s="18"/>
      <c r="Y27" s="18"/>
      <c r="Z27" s="18"/>
      <c r="AA27" s="18"/>
      <c r="AB27" s="18"/>
      <c r="AC27" s="18"/>
      <c r="AD27" s="18"/>
      <c r="AE27" s="18"/>
      <c r="AF27" s="18"/>
      <c r="AG27" s="18"/>
      <c r="AH27" s="18"/>
      <c r="AI27" s="41"/>
      <c r="AJ27" s="41"/>
      <c r="AK27" s="41"/>
      <c r="AL27" s="41"/>
      <c r="AM27" s="41"/>
      <c r="AN27" s="41"/>
      <c r="AO27" s="41"/>
      <c r="AP27" s="41"/>
      <c r="AQ27" s="41"/>
      <c r="AR27" s="41"/>
    </row>
    <row r="28" spans="1:44" x14ac:dyDescent="0.3">
      <c r="A28" s="18"/>
      <c r="B28" s="18"/>
      <c r="C28" s="18"/>
      <c r="D28" s="18"/>
      <c r="E28" s="18"/>
      <c r="F28" s="18"/>
      <c r="G28" s="18"/>
      <c r="H28" s="18"/>
      <c r="I28" s="18"/>
      <c r="J28" s="18"/>
      <c r="K28" s="18"/>
      <c r="L28" s="18"/>
      <c r="M28" s="18"/>
      <c r="N28" s="18"/>
      <c r="O28" s="18"/>
      <c r="P28" s="33" t="str">
        <v>C0013</v>
      </c>
      <c r="Q28" s="34">
        <v>1255</v>
      </c>
      <c r="R28" s="34">
        <v>516</v>
      </c>
      <c r="S28" s="34">
        <v>1874</v>
      </c>
      <c r="T28" s="34">
        <v>1863</v>
      </c>
      <c r="U28" s="34">
        <v>1722</v>
      </c>
      <c r="V28" s="35">
        <v>7230</v>
      </c>
      <c r="W28" s="18"/>
      <c r="X28" s="18"/>
      <c r="Y28" s="18"/>
      <c r="Z28" s="18"/>
      <c r="AA28" s="18"/>
      <c r="AB28" s="18"/>
      <c r="AC28" s="18"/>
      <c r="AD28" s="18"/>
      <c r="AE28" s="18"/>
      <c r="AF28" s="18"/>
      <c r="AG28" s="18"/>
      <c r="AH28" s="18"/>
      <c r="AI28" s="41"/>
      <c r="AJ28" s="41"/>
      <c r="AK28" s="41"/>
      <c r="AL28" s="41"/>
      <c r="AM28" s="41"/>
      <c r="AN28" s="41"/>
      <c r="AO28" s="41"/>
      <c r="AP28" s="41"/>
      <c r="AQ28" s="41"/>
      <c r="AR28" s="41"/>
    </row>
    <row r="29" spans="1:44" x14ac:dyDescent="0.3">
      <c r="A29" s="18"/>
      <c r="B29" s="18"/>
      <c r="C29" s="18"/>
      <c r="D29" s="18"/>
      <c r="E29" s="18"/>
      <c r="F29" s="18"/>
      <c r="G29" s="18"/>
      <c r="H29" s="18"/>
      <c r="I29" s="18"/>
      <c r="J29" s="18"/>
      <c r="K29" s="18"/>
      <c r="L29" s="18"/>
      <c r="M29" s="18"/>
      <c r="N29" s="18"/>
      <c r="O29" s="18"/>
      <c r="P29" s="33" t="str">
        <v>C0015</v>
      </c>
      <c r="Q29" s="34">
        <v>1138</v>
      </c>
      <c r="R29" s="34">
        <v>1898</v>
      </c>
      <c r="S29" s="34">
        <v>1482</v>
      </c>
      <c r="T29" s="34">
        <v>846</v>
      </c>
      <c r="U29" s="34">
        <v>1154</v>
      </c>
      <c r="V29" s="35">
        <v>6518</v>
      </c>
      <c r="W29" s="18"/>
      <c r="X29" s="18"/>
      <c r="Y29" s="18"/>
      <c r="Z29" s="18"/>
      <c r="AA29" s="18"/>
      <c r="AB29" s="18"/>
      <c r="AC29" s="18"/>
      <c r="AD29" s="18"/>
      <c r="AE29" s="18"/>
      <c r="AF29" s="18"/>
      <c r="AG29" s="18"/>
      <c r="AH29" s="18"/>
      <c r="AI29" s="41"/>
      <c r="AJ29" s="41"/>
      <c r="AK29" s="41"/>
      <c r="AL29" s="41"/>
      <c r="AM29" s="41"/>
      <c r="AN29" s="41"/>
      <c r="AO29" s="41"/>
      <c r="AP29" s="41"/>
      <c r="AQ29" s="41"/>
      <c r="AR29" s="41"/>
    </row>
    <row r="30" spans="1:44" x14ac:dyDescent="0.3">
      <c r="A30" s="18"/>
      <c r="B30" s="18"/>
      <c r="C30" s="18"/>
      <c r="D30" s="18"/>
      <c r="E30" s="18"/>
      <c r="F30" s="18"/>
      <c r="G30" s="18"/>
      <c r="H30" s="18"/>
      <c r="I30" s="18"/>
      <c r="J30" s="18"/>
      <c r="K30" s="18"/>
      <c r="L30" s="18"/>
      <c r="M30" s="18"/>
      <c r="N30" s="18"/>
      <c r="O30" s="18"/>
      <c r="P30" s="39" t="str">
        <v>Columbus</v>
      </c>
      <c r="Q30" s="34" t="str">
        <v/>
      </c>
      <c r="R30" s="34" t="str">
        <v/>
      </c>
      <c r="S30" s="34" t="str">
        <v/>
      </c>
      <c r="T30" s="34" t="str">
        <v/>
      </c>
      <c r="U30" s="34" t="str">
        <v/>
      </c>
      <c r="V30" s="35" t="str">
        <v/>
      </c>
      <c r="W30" s="18"/>
      <c r="X30" s="18"/>
      <c r="Y30" s="18"/>
      <c r="Z30" s="18"/>
      <c r="AA30" s="18"/>
      <c r="AB30" s="18"/>
      <c r="AC30" s="18"/>
      <c r="AD30" s="18"/>
      <c r="AE30" s="18"/>
      <c r="AF30" s="18"/>
      <c r="AG30" s="18"/>
      <c r="AH30" s="18"/>
      <c r="AI30" s="41"/>
      <c r="AJ30" s="41"/>
      <c r="AK30" s="41"/>
      <c r="AL30" s="41"/>
      <c r="AM30" s="41"/>
      <c r="AN30" s="41"/>
      <c r="AO30" s="41"/>
      <c r="AP30" s="41"/>
      <c r="AQ30" s="41"/>
      <c r="AR30" s="41"/>
    </row>
    <row r="31" spans="1:44" x14ac:dyDescent="0.3">
      <c r="A31" s="18"/>
      <c r="B31" s="18"/>
      <c r="C31" s="18"/>
      <c r="D31" s="18"/>
      <c r="E31" s="18"/>
      <c r="F31" s="18"/>
      <c r="G31" s="18"/>
      <c r="H31" s="18"/>
      <c r="I31" s="18"/>
      <c r="J31" s="18"/>
      <c r="K31" s="18"/>
      <c r="L31" s="18"/>
      <c r="M31" s="18"/>
      <c r="N31" s="18"/>
      <c r="O31" s="18"/>
      <c r="P31" s="33" t="str">
        <v>C0001</v>
      </c>
      <c r="Q31" s="34">
        <v>1655</v>
      </c>
      <c r="R31" s="34">
        <v>805</v>
      </c>
      <c r="S31" s="34">
        <v>2263</v>
      </c>
      <c r="T31" s="34">
        <v>987</v>
      </c>
      <c r="U31" s="34">
        <v>1075</v>
      </c>
      <c r="V31" s="35">
        <v>6785</v>
      </c>
      <c r="W31" s="18"/>
      <c r="X31" s="18"/>
      <c r="Y31" s="18"/>
      <c r="Z31" s="18"/>
      <c r="AA31" s="18"/>
      <c r="AB31" s="18"/>
      <c r="AC31" s="18"/>
      <c r="AD31" s="18"/>
      <c r="AE31" s="18"/>
      <c r="AF31" s="18"/>
      <c r="AG31" s="18"/>
      <c r="AH31" s="18"/>
      <c r="AI31" s="41"/>
      <c r="AJ31" s="41"/>
      <c r="AK31" s="41"/>
      <c r="AL31" s="41"/>
      <c r="AM31" s="41"/>
      <c r="AN31" s="41"/>
      <c r="AO31" s="41"/>
      <c r="AP31" s="41"/>
      <c r="AQ31" s="41"/>
      <c r="AR31" s="41"/>
    </row>
    <row r="32" spans="1:44" x14ac:dyDescent="0.3">
      <c r="A32" s="18"/>
      <c r="B32" s="18"/>
      <c r="C32" s="18"/>
      <c r="D32" s="18"/>
      <c r="E32" s="18"/>
      <c r="F32" s="18"/>
      <c r="G32" s="18"/>
      <c r="H32" s="18"/>
      <c r="I32" s="18"/>
      <c r="J32" s="18"/>
      <c r="K32" s="18"/>
      <c r="L32" s="18"/>
      <c r="M32" s="18"/>
      <c r="N32" s="18"/>
      <c r="O32" s="18"/>
      <c r="P32" s="33" t="str">
        <v>C0005</v>
      </c>
      <c r="Q32" s="34">
        <v>1104</v>
      </c>
      <c r="R32" s="34">
        <v>2280</v>
      </c>
      <c r="S32" s="34">
        <v>1445</v>
      </c>
      <c r="T32" s="34">
        <v>1722</v>
      </c>
      <c r="U32" s="34">
        <v>1196</v>
      </c>
      <c r="V32" s="35">
        <v>7747</v>
      </c>
      <c r="W32" s="18"/>
      <c r="X32" s="18"/>
      <c r="Y32" s="18"/>
      <c r="Z32" s="18"/>
      <c r="AA32" s="18"/>
      <c r="AB32" s="18"/>
      <c r="AC32" s="18"/>
      <c r="AD32" s="18"/>
      <c r="AE32" s="18"/>
      <c r="AF32" s="18"/>
      <c r="AG32" s="18"/>
      <c r="AH32" s="18"/>
      <c r="AI32" s="41"/>
      <c r="AJ32" s="41"/>
      <c r="AK32" s="41"/>
      <c r="AL32" s="41"/>
      <c r="AM32" s="41"/>
      <c r="AN32" s="41"/>
      <c r="AO32" s="41"/>
      <c r="AP32" s="41"/>
      <c r="AQ32" s="41"/>
      <c r="AR32" s="41"/>
    </row>
    <row r="33" spans="1:44" x14ac:dyDescent="0.3">
      <c r="A33" s="18"/>
      <c r="B33" s="18"/>
      <c r="C33" s="18"/>
      <c r="D33" s="18"/>
      <c r="E33" s="18"/>
      <c r="F33" s="18"/>
      <c r="G33" s="18"/>
      <c r="H33" s="18"/>
      <c r="I33" s="18"/>
      <c r="J33" s="18"/>
      <c r="K33" s="18"/>
      <c r="L33" s="18"/>
      <c r="M33" s="18"/>
      <c r="N33" s="18"/>
      <c r="O33" s="18"/>
      <c r="P33" s="33" t="str">
        <v>C0006</v>
      </c>
      <c r="Q33" s="34">
        <v>372</v>
      </c>
      <c r="R33" s="34">
        <v>1818</v>
      </c>
      <c r="S33" s="34">
        <v>1346</v>
      </c>
      <c r="T33" s="34">
        <v>1156</v>
      </c>
      <c r="U33" s="34">
        <v>1484</v>
      </c>
      <c r="V33" s="35">
        <v>6176</v>
      </c>
      <c r="W33" s="18"/>
      <c r="X33" s="18"/>
      <c r="Y33" s="18"/>
      <c r="Z33" s="18"/>
      <c r="AA33" s="18"/>
      <c r="AB33" s="18"/>
      <c r="AC33" s="18"/>
      <c r="AD33" s="18"/>
      <c r="AE33" s="18"/>
      <c r="AF33" s="18"/>
      <c r="AG33" s="18"/>
      <c r="AH33" s="18"/>
      <c r="AI33" s="41"/>
      <c r="AJ33" s="41"/>
      <c r="AK33" s="41"/>
      <c r="AL33" s="41"/>
      <c r="AM33" s="41"/>
      <c r="AN33" s="41"/>
      <c r="AO33" s="41"/>
      <c r="AP33" s="41"/>
      <c r="AQ33" s="41"/>
      <c r="AR33" s="41"/>
    </row>
    <row r="34" spans="1:44" x14ac:dyDescent="0.3">
      <c r="A34" s="18"/>
      <c r="B34" s="18"/>
      <c r="C34" s="18"/>
      <c r="D34" s="18"/>
      <c r="E34" s="18"/>
      <c r="F34" s="18"/>
      <c r="G34" s="18"/>
      <c r="H34" s="18"/>
      <c r="I34" s="18"/>
      <c r="J34" s="18"/>
      <c r="K34" s="18"/>
      <c r="L34" s="18"/>
      <c r="M34" s="18"/>
      <c r="N34" s="18"/>
      <c r="O34" s="18"/>
      <c r="P34" s="33" t="str">
        <v>C0009</v>
      </c>
      <c r="Q34" s="34">
        <v>1415</v>
      </c>
      <c r="R34" s="34">
        <v>1271</v>
      </c>
      <c r="S34" s="34">
        <v>1214</v>
      </c>
      <c r="T34" s="34">
        <v>1135</v>
      </c>
      <c r="U34" s="34">
        <v>1566</v>
      </c>
      <c r="V34" s="35">
        <v>6601</v>
      </c>
      <c r="W34" s="18"/>
      <c r="X34" s="18"/>
      <c r="Y34" s="18"/>
      <c r="Z34" s="18"/>
      <c r="AA34" s="18"/>
      <c r="AB34" s="18"/>
      <c r="AC34" s="18"/>
      <c r="AD34" s="18"/>
      <c r="AE34" s="18"/>
      <c r="AF34" s="18"/>
      <c r="AG34" s="18"/>
      <c r="AH34" s="18"/>
      <c r="AI34" s="41"/>
      <c r="AJ34" s="41"/>
      <c r="AK34" s="41"/>
      <c r="AL34" s="41"/>
      <c r="AM34" s="41"/>
      <c r="AN34" s="41"/>
      <c r="AO34" s="41"/>
      <c r="AP34" s="41"/>
      <c r="AQ34" s="41"/>
      <c r="AR34" s="41"/>
    </row>
    <row r="35" spans="1:44" x14ac:dyDescent="0.3">
      <c r="A35" s="18"/>
      <c r="B35" s="18"/>
      <c r="C35" s="18"/>
      <c r="D35" s="18"/>
      <c r="E35" s="18"/>
      <c r="F35" s="18"/>
      <c r="G35" s="18"/>
      <c r="H35" s="18"/>
      <c r="I35" s="18"/>
      <c r="J35" s="18"/>
      <c r="K35" s="18"/>
      <c r="L35" s="18"/>
      <c r="M35" s="18"/>
      <c r="N35" s="18"/>
      <c r="O35" s="18"/>
      <c r="P35" s="36" t="str">
        <v>C0014</v>
      </c>
      <c r="Q35" s="37">
        <v>1362</v>
      </c>
      <c r="R35" s="37">
        <v>1363</v>
      </c>
      <c r="S35" s="37">
        <v>1152</v>
      </c>
      <c r="T35" s="37">
        <v>777</v>
      </c>
      <c r="U35" s="37">
        <v>750</v>
      </c>
      <c r="V35" s="38">
        <v>5404</v>
      </c>
      <c r="W35" s="18"/>
      <c r="X35" s="18"/>
      <c r="Y35" s="18"/>
      <c r="Z35" s="18"/>
      <c r="AA35" s="18"/>
      <c r="AB35" s="18"/>
      <c r="AC35" s="18"/>
      <c r="AD35" s="18"/>
      <c r="AE35" s="18"/>
      <c r="AF35" s="18"/>
      <c r="AG35" s="18"/>
      <c r="AH35" s="18"/>
      <c r="AI35" s="41"/>
      <c r="AJ35" s="41"/>
      <c r="AK35" s="41"/>
      <c r="AL35" s="41"/>
      <c r="AM35" s="41"/>
      <c r="AN35" s="41"/>
      <c r="AO35" s="41"/>
      <c r="AP35" s="41"/>
      <c r="AQ35" s="41"/>
      <c r="AR35" s="41"/>
    </row>
    <row r="36" spans="1:44" x14ac:dyDescent="0.3">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41"/>
      <c r="AJ36" s="41"/>
      <c r="AK36" s="41"/>
      <c r="AL36" s="41"/>
      <c r="AM36" s="41"/>
      <c r="AN36" s="41"/>
      <c r="AO36" s="41"/>
      <c r="AP36" s="41"/>
      <c r="AQ36" s="41"/>
      <c r="AR36" s="41"/>
    </row>
    <row r="37" spans="1:44" x14ac:dyDescent="0.3">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41"/>
      <c r="AJ37" s="41"/>
      <c r="AK37" s="41"/>
      <c r="AL37" s="41"/>
      <c r="AM37" s="41"/>
      <c r="AN37" s="41"/>
      <c r="AO37" s="41"/>
      <c r="AP37" s="41"/>
      <c r="AQ37" s="41"/>
      <c r="AR37" s="41"/>
    </row>
    <row r="38" spans="1:44" x14ac:dyDescent="0.3">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41"/>
      <c r="AJ38" s="41"/>
      <c r="AK38" s="41"/>
      <c r="AL38" s="41"/>
      <c r="AM38" s="41"/>
      <c r="AN38" s="41"/>
      <c r="AO38" s="41"/>
      <c r="AP38" s="41"/>
      <c r="AQ38" s="41"/>
      <c r="AR38" s="41"/>
    </row>
    <row r="39" spans="1:44" x14ac:dyDescent="0.3">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41"/>
      <c r="AJ39" s="41"/>
      <c r="AK39" s="41"/>
      <c r="AL39" s="41"/>
      <c r="AM39" s="41"/>
      <c r="AN39" s="41"/>
      <c r="AO39" s="41"/>
      <c r="AP39" s="41"/>
      <c r="AQ39" s="41"/>
      <c r="AR39" s="41"/>
    </row>
    <row r="40" spans="1:44" x14ac:dyDescent="0.3">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41"/>
      <c r="AJ40" s="41"/>
      <c r="AK40" s="41"/>
      <c r="AL40" s="41"/>
      <c r="AM40" s="41"/>
      <c r="AN40" s="41"/>
      <c r="AO40" s="41"/>
      <c r="AP40" s="41"/>
      <c r="AQ40" s="41"/>
      <c r="AR40" s="41"/>
    </row>
    <row r="41" spans="1:44" x14ac:dyDescent="0.3">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41"/>
      <c r="AJ41" s="41"/>
      <c r="AK41" s="41"/>
      <c r="AL41" s="41"/>
      <c r="AM41" s="41"/>
      <c r="AN41" s="41"/>
      <c r="AO41" s="41"/>
      <c r="AP41" s="41"/>
      <c r="AQ41" s="41"/>
      <c r="AR41" s="41"/>
    </row>
    <row r="42" spans="1:44" x14ac:dyDescent="0.3">
      <c r="Y42" s="18"/>
      <c r="Z42" s="18"/>
      <c r="AA42" s="18"/>
      <c r="AB42" s="18"/>
      <c r="AC42" s="18"/>
      <c r="AD42" s="18"/>
      <c r="AE42" s="18"/>
      <c r="AF42" s="18"/>
      <c r="AG42" s="18"/>
      <c r="AH42" s="18"/>
      <c r="AI42" s="41"/>
      <c r="AJ42" s="41"/>
      <c r="AK42" s="41"/>
      <c r="AL42" s="41"/>
      <c r="AM42" s="41"/>
      <c r="AN42" s="41"/>
      <c r="AO42" s="41"/>
      <c r="AP42" s="41"/>
      <c r="AQ42" s="41"/>
      <c r="AR42" s="41"/>
    </row>
    <row r="43" spans="1:44" x14ac:dyDescent="0.3">
      <c r="Y43" s="18"/>
      <c r="Z43" s="18"/>
      <c r="AA43" s="18"/>
      <c r="AB43" s="18"/>
      <c r="AC43" s="18"/>
      <c r="AD43" s="18"/>
      <c r="AE43" s="18"/>
      <c r="AF43" s="18"/>
      <c r="AG43" s="18"/>
      <c r="AH43" s="18"/>
      <c r="AI43" s="41"/>
      <c r="AJ43" s="41"/>
      <c r="AK43" s="41"/>
      <c r="AL43" s="41"/>
      <c r="AM43" s="41"/>
      <c r="AN43" s="41"/>
      <c r="AO43" s="41"/>
      <c r="AP43" s="41"/>
      <c r="AQ43" s="41"/>
      <c r="AR43" s="41"/>
    </row>
    <row r="44" spans="1:44" x14ac:dyDescent="0.3">
      <c r="Y44" s="18"/>
      <c r="Z44" s="18"/>
      <c r="AA44" s="18"/>
      <c r="AB44" s="18"/>
      <c r="AC44" s="18"/>
      <c r="AD44" s="18"/>
      <c r="AE44" s="18"/>
      <c r="AF44" s="18"/>
      <c r="AG44" s="18"/>
      <c r="AH44" s="18"/>
      <c r="AI44" s="41"/>
      <c r="AJ44" s="41"/>
      <c r="AK44" s="41"/>
      <c r="AL44" s="41"/>
      <c r="AM44" s="41"/>
      <c r="AN44" s="41"/>
      <c r="AO44" s="41"/>
      <c r="AP44" s="41"/>
      <c r="AQ44" s="41"/>
      <c r="AR44" s="41"/>
    </row>
    <row r="45" spans="1:44" x14ac:dyDescent="0.3">
      <c r="Y45" s="18"/>
      <c r="Z45" s="18"/>
      <c r="AA45" s="18"/>
      <c r="AB45" s="18"/>
      <c r="AC45" s="18"/>
      <c r="AD45" s="18"/>
      <c r="AE45" s="18"/>
      <c r="AF45" s="18"/>
      <c r="AG45" s="18"/>
      <c r="AH45" s="18"/>
      <c r="AI45" s="41"/>
      <c r="AJ45" s="41"/>
      <c r="AK45" s="41"/>
      <c r="AL45" s="41"/>
      <c r="AM45" s="41"/>
      <c r="AN45" s="41"/>
      <c r="AO45" s="41"/>
      <c r="AP45" s="41"/>
      <c r="AQ45" s="41"/>
      <c r="AR45" s="41"/>
    </row>
  </sheetData>
  <conditionalFormatting sqref="Q19:U35">
    <cfRule type="dataBar" priority="2">
      <dataBar>
        <cfvo type="num" val="0"/>
        <cfvo type="formula" val="MAX($Q$19:$U$35)*2"/>
        <color theme="1"/>
      </dataBar>
      <extLst>
        <ext xmlns:x14="http://schemas.microsoft.com/office/spreadsheetml/2009/9/main" uri="{B025F937-C7B1-47D3-B67F-A62EFF666E3E}">
          <x14:id>{DB9B6265-8271-4FF4-B074-05FC95309F19}</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0A1E17FF-77C7-45CB-90F2-240B84692E25}">
            <xm:f>Q$17=Pivots!$F$34</xm:f>
            <x14:dxf>
              <fill>
                <patternFill>
                  <bgColor theme="8" tint="0.39994506668294322"/>
                </patternFill>
              </fill>
              <border>
                <left style="thin">
                  <color theme="1"/>
                </left>
                <right style="thin">
                  <color theme="1"/>
                </right>
                <top/>
                <bottom/>
                <vertical/>
                <horizontal/>
              </border>
            </x14:dxf>
          </x14:cfRule>
          <xm:sqref>Q17:U35</xm:sqref>
        </x14:conditionalFormatting>
        <x14:conditionalFormatting xmlns:xm="http://schemas.microsoft.com/office/excel/2006/main">
          <x14:cfRule type="dataBar" id="{DB9B6265-8271-4FF4-B074-05FC95309F19}">
            <x14:dataBar minLength="0" maxLength="100" gradient="0">
              <x14:cfvo type="num">
                <xm:f>0</xm:f>
              </x14:cfvo>
              <x14:cfvo type="formula">
                <xm:f>MAX($Q$19:$U$35)*2</xm:f>
              </x14:cfvo>
              <x14:negativeFillColor rgb="FFFF0000"/>
              <x14:axisColor rgb="FF000000"/>
            </x14:dataBar>
          </x14:cfRule>
          <xm:sqref>Q19:U35</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Icons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Pala Saiteja</cp:lastModifiedBy>
  <dcterms:created xsi:type="dcterms:W3CDTF">2021-03-14T20:21:32Z</dcterms:created>
  <dcterms:modified xsi:type="dcterms:W3CDTF">2026-02-01T06:52:42Z</dcterms:modified>
</cp:coreProperties>
</file>